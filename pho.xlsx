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0" documentId="13_ncr:1_{AE0D8180-AE0D-42F6-A908-8695184DA0D0}" xr6:coauthVersionLast="47" xr6:coauthVersionMax="47" xr10:uidLastSave="{00000000-0000-0000-0000-000000000000}"/>
  <bookViews>
    <workbookView minimized="1" xWindow="6348" yWindow="504" windowWidth="12600" windowHeight="12192" activeTab="2" xr2:uid="{A451A33D-30D8-49F2-8690-4D13AEA4D9D3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6" l="1"/>
  <c r="D62" i="6"/>
  <c r="D61" i="6"/>
  <c r="D60" i="6"/>
  <c r="D11" i="6"/>
  <c r="D10" i="6"/>
  <c r="D9" i="6"/>
  <c r="D8" i="6"/>
  <c r="D3" i="6"/>
  <c r="D4" i="6"/>
  <c r="D5" i="6"/>
  <c r="D6" i="6"/>
  <c r="D7" i="6"/>
  <c r="D2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" i="3"/>
  <c r="M4" i="3"/>
  <c r="E4" i="3"/>
  <c r="M6" i="3"/>
  <c r="M5" i="3"/>
  <c r="E5" i="3"/>
  <c r="E6" i="3"/>
  <c r="M7" i="3"/>
  <c r="E7" i="3"/>
  <c r="M8" i="3"/>
  <c r="E8" i="3"/>
  <c r="M9" i="3"/>
  <c r="E9" i="3"/>
  <c r="M10" i="3"/>
  <c r="E10" i="3"/>
  <c r="M11" i="3"/>
  <c r="E11" i="3"/>
  <c r="M12" i="3"/>
  <c r="E12" i="3"/>
  <c r="M13" i="3"/>
  <c r="E13" i="3"/>
  <c r="M14" i="3"/>
  <c r="E14" i="3"/>
  <c r="M15" i="3"/>
  <c r="E15" i="3"/>
  <c r="M16" i="3"/>
  <c r="E16" i="3"/>
  <c r="M17" i="3"/>
  <c r="E17" i="3"/>
  <c r="M18" i="3"/>
  <c r="E18" i="3"/>
  <c r="M19" i="3"/>
  <c r="E19" i="3"/>
</calcChain>
</file>

<file path=xl/sharedStrings.xml><?xml version="1.0" encoding="utf-8"?>
<sst xmlns="http://schemas.openxmlformats.org/spreadsheetml/2006/main" count="81" uniqueCount="68">
  <si>
    <t>案例</t>
    <phoneticPr fontId="1" type="noConversion"/>
  </si>
  <si>
    <t>迭代次數</t>
    <phoneticPr fontId="1" type="noConversion"/>
  </si>
  <si>
    <t>XP</t>
    <phoneticPr fontId="1" type="noConversion"/>
  </si>
  <si>
    <t>YP</t>
    <phoneticPr fontId="1" type="noConversion"/>
  </si>
  <si>
    <t>ZP</t>
    <phoneticPr fontId="1" type="noConversion"/>
  </si>
  <si>
    <t>XP</t>
  </si>
  <si>
    <t>YP</t>
  </si>
  <si>
    <t>ZP</t>
  </si>
  <si>
    <t>𝝈𝒀</t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</si>
  <si>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Calibri"/>
        <family val="2"/>
      </rPr>
      <t>Y</t>
    </r>
    <r>
      <rPr>
        <sz val="12"/>
        <color theme="1"/>
        <rFont val="新細明體"/>
        <family val="2"/>
        <charset val="136"/>
        <scheme val="minor"/>
      </rPr>
      <t>P</t>
    </r>
    <phoneticPr fontId="1" type="noConversion"/>
  </si>
  <si>
    <r>
      <rPr>
        <sz val="12"/>
        <color theme="1"/>
        <rFont val="Calibri"/>
        <family val="2"/>
        <charset val="161"/>
      </rPr>
      <t>εZ</t>
    </r>
    <r>
      <rPr>
        <sz val="12"/>
        <color theme="1"/>
        <rFont val="新細明體"/>
        <family val="2"/>
        <charset val="136"/>
        <scheme val="minor"/>
      </rPr>
      <t>P</t>
    </r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</si>
  <si>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新細明體"/>
        <family val="2"/>
        <charset val="136"/>
        <scheme val="minor"/>
      </rPr>
      <t>XP</t>
    </r>
    <phoneticPr fontId="1" type="noConversion"/>
  </si>
  <si>
    <r>
      <rPr>
        <sz val="12"/>
        <color theme="1"/>
        <rFont val="Cambria Math"/>
        <family val="2"/>
      </rPr>
      <t>𝝈</t>
    </r>
    <r>
      <rPr>
        <sz val="12"/>
        <color theme="1"/>
        <rFont val="新細明體"/>
        <family val="2"/>
        <charset val="136"/>
        <scheme val="minor"/>
      </rPr>
      <t>Z</t>
    </r>
    <phoneticPr fontId="1" type="noConversion"/>
  </si>
  <si>
    <t>後驗單位權中誤差</t>
    <phoneticPr fontId="1" type="noConversion"/>
  </si>
  <si>
    <t>後驗單位權中誤差平方</t>
    <phoneticPr fontId="1" type="noConversion"/>
  </si>
  <si>
    <t>C1x</t>
    <phoneticPr fontId="1" type="noConversion"/>
  </si>
  <si>
    <t>C2x</t>
    <phoneticPr fontId="1" type="noConversion"/>
  </si>
  <si>
    <t>C3x</t>
    <phoneticPr fontId="1" type="noConversion"/>
  </si>
  <si>
    <t>C1y</t>
    <phoneticPr fontId="1" type="noConversion"/>
  </si>
  <si>
    <t>C2y</t>
    <phoneticPr fontId="1" type="noConversion"/>
  </si>
  <si>
    <t>C3y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</si>
  <si>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</si>
  <si>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</si>
  <si>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</si>
  <si>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均方根</t>
    <phoneticPr fontId="1" type="noConversion"/>
  </si>
  <si>
    <t>a1x</t>
    <phoneticPr fontId="1" type="noConversion"/>
  </si>
  <si>
    <t>a2x</t>
    <phoneticPr fontId="1" type="noConversion"/>
  </si>
  <si>
    <t>a3x</t>
    <phoneticPr fontId="1" type="noConversion"/>
  </si>
  <si>
    <t>a1y</t>
    <phoneticPr fontId="1" type="noConversion"/>
  </si>
  <si>
    <t>a2y</t>
    <phoneticPr fontId="1" type="noConversion"/>
  </si>
  <si>
    <t>a3y</t>
    <phoneticPr fontId="1" type="noConversion"/>
  </si>
  <si>
    <t>b1x</t>
    <phoneticPr fontId="1" type="noConversion"/>
  </si>
  <si>
    <t>b2x</t>
    <phoneticPr fontId="1" type="noConversion"/>
  </si>
  <si>
    <t>b3x</t>
    <phoneticPr fontId="1" type="noConversion"/>
  </si>
  <si>
    <t>b1y</t>
    <phoneticPr fontId="1" type="noConversion"/>
  </si>
  <si>
    <t>b2y</t>
    <phoneticPr fontId="1" type="noConversion"/>
  </si>
  <si>
    <t>b3y</t>
    <phoneticPr fontId="1" type="noConversion"/>
  </si>
  <si>
    <t>d1x</t>
    <phoneticPr fontId="1" type="noConversion"/>
  </si>
  <si>
    <t>d2x</t>
    <phoneticPr fontId="1" type="noConversion"/>
  </si>
  <si>
    <t>d3x</t>
    <phoneticPr fontId="1" type="noConversion"/>
  </si>
  <si>
    <t>d1y</t>
    <phoneticPr fontId="1" type="noConversion"/>
  </si>
  <si>
    <t>d2y</t>
    <phoneticPr fontId="1" type="noConversion"/>
  </si>
  <si>
    <t>d3y</t>
    <phoneticPr fontId="1" type="noConversion"/>
  </si>
  <si>
    <t>e1x</t>
    <phoneticPr fontId="1" type="noConversion"/>
  </si>
  <si>
    <t>e2x</t>
    <phoneticPr fontId="1" type="noConversion"/>
  </si>
  <si>
    <t>e3x</t>
    <phoneticPr fontId="1" type="noConversion"/>
  </si>
  <si>
    <t>e1y</t>
    <phoneticPr fontId="1" type="noConversion"/>
  </si>
  <si>
    <t>e2y</t>
    <phoneticPr fontId="1" type="noConversion"/>
  </si>
  <si>
    <t>e3y</t>
    <phoneticPr fontId="1" type="noConversion"/>
  </si>
  <si>
    <t>f1x</t>
    <phoneticPr fontId="1" type="noConversion"/>
  </si>
  <si>
    <t>f2x</t>
    <phoneticPr fontId="1" type="noConversion"/>
  </si>
  <si>
    <t>f3x</t>
    <phoneticPr fontId="1" type="noConversion"/>
  </si>
  <si>
    <t>f1y</t>
    <phoneticPr fontId="1" type="noConversion"/>
  </si>
  <si>
    <t>f2y</t>
    <phoneticPr fontId="1" type="noConversion"/>
  </si>
  <si>
    <t>f3y</t>
    <phoneticPr fontId="1" type="noConversion"/>
  </si>
  <si>
    <t>G1x</t>
    <phoneticPr fontId="1" type="noConversion"/>
  </si>
  <si>
    <t>G2x</t>
    <phoneticPr fontId="1" type="noConversion"/>
  </si>
  <si>
    <t>G3x</t>
    <phoneticPr fontId="1" type="noConversion"/>
  </si>
  <si>
    <t>G1y</t>
    <phoneticPr fontId="1" type="noConversion"/>
  </si>
  <si>
    <t>G2y</t>
    <phoneticPr fontId="1" type="noConversion"/>
  </si>
  <si>
    <t>G3y</t>
    <phoneticPr fontId="1" type="noConversion"/>
  </si>
  <si>
    <t>H1x</t>
    <phoneticPr fontId="1" type="noConversion"/>
  </si>
  <si>
    <t>H2x</t>
    <phoneticPr fontId="1" type="noConversion"/>
  </si>
  <si>
    <t>H3x</t>
    <phoneticPr fontId="1" type="noConversion"/>
  </si>
  <si>
    <t>H1y</t>
    <phoneticPr fontId="1" type="noConversion"/>
  </si>
  <si>
    <t>H2y</t>
    <phoneticPr fontId="1" type="noConversion"/>
  </si>
  <si>
    <t>H3y</t>
    <phoneticPr fontId="1" type="noConversion"/>
  </si>
  <si>
    <t>𝝈𝑿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</si>
</sst>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mbria Math"/>
      <family val="1"/>
    </font>
    <font>
      <sz val="12"/>
      <color theme="1"/>
      <name val="Calibri"/>
      <family val="2"/>
    </font>
    <font>
      <sz val="12"/>
      <color theme="1"/>
      <name val="Calibri"/>
      <family val="2"/>
      <charset val="161"/>
    </font>
    <font>
      <sz val="12"/>
      <color theme="1"/>
      <name val="新細明體"/>
      <family val="2"/>
      <charset val="161"/>
      <scheme val="minor"/>
    </font>
    <font>
      <sz val="12"/>
      <color theme="1"/>
      <name val="Cambria Math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迭代次數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工作表1!$B$2:$B$19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2-4011-A988-585BA5CAB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656511"/>
        <c:axId val="1203644031"/>
      </c:barChart>
      <c:catAx>
        <c:axId val="120365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3644031"/>
        <c:crosses val="autoZero"/>
        <c:auto val="1"/>
        <c:lblAlgn val="ctr"/>
        <c:lblOffset val="100"/>
        <c:noMultiLvlLbl val="0"/>
      </c:catAx>
      <c:valAx>
        <c:axId val="120364403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3656511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案例</a:t>
            </a:r>
            <a:r>
              <a:rPr lang="en-US" altLang="zh-TW"/>
              <a:t>1~18</a:t>
            </a:r>
            <a:r>
              <a:rPr lang="zh-TW" altLang="en-US"/>
              <a:t>之地面座標</a:t>
            </a:r>
            <a:r>
              <a:rPr lang="en-US" altLang="zh-TW"/>
              <a:t>XP</a:t>
            </a:r>
            <a:r>
              <a:rPr lang="zh-TW" altLang="en-US"/>
              <a:t>最或是值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XP最或是值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工作表2!$A$2:$A$19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工作表2!$B$2:$B$19</c:f>
              <c:numCache>
                <c:formatCode>0.000000</c:formatCode>
                <c:ptCount val="18"/>
                <c:pt idx="0">
                  <c:v>184116.12906599999</c:v>
                </c:pt>
                <c:pt idx="1">
                  <c:v>184116.13629699999</c:v>
                </c:pt>
                <c:pt idx="2">
                  <c:v>184116.187087</c:v>
                </c:pt>
                <c:pt idx="3">
                  <c:v>184116.25283099999</c:v>
                </c:pt>
                <c:pt idx="4">
                  <c:v>184116.41536000001</c:v>
                </c:pt>
                <c:pt idx="5">
                  <c:v>184118.94290299999</c:v>
                </c:pt>
                <c:pt idx="6">
                  <c:v>184116.122133</c:v>
                </c:pt>
                <c:pt idx="7">
                  <c:v>184116.121988</c:v>
                </c:pt>
                <c:pt idx="8">
                  <c:v>184116.121625</c:v>
                </c:pt>
                <c:pt idx="9">
                  <c:v>184116.11509599999</c:v>
                </c:pt>
                <c:pt idx="10">
                  <c:v>184116.13936</c:v>
                </c:pt>
                <c:pt idx="11">
                  <c:v>184116.14000099999</c:v>
                </c:pt>
                <c:pt idx="12">
                  <c:v>184116.14160199999</c:v>
                </c:pt>
                <c:pt idx="13">
                  <c:v>184116.17042499999</c:v>
                </c:pt>
                <c:pt idx="14">
                  <c:v>184116.138626</c:v>
                </c:pt>
                <c:pt idx="15">
                  <c:v>184116.138622</c:v>
                </c:pt>
                <c:pt idx="16">
                  <c:v>184116.13861200001</c:v>
                </c:pt>
                <c:pt idx="17">
                  <c:v>184116.13844099999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B1-4D5E-945E-8C54EF563BD6}"/>
            </c:ext>
          </c:extLst>
        </c:ser>
        <c:ser>
          <c:idx val="1"/>
          <c:order val="1"/>
          <c:tx>
            <c:v>XP真值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9</c:v>
              </c:pt>
            </c:numLit>
          </c:xVal>
          <c:yVal>
            <c:numRef>
              <c:f>工作表2!$B$20</c:f>
              <c:numCache>
                <c:formatCode>0.000000</c:formatCode>
                <c:ptCount val="1"/>
                <c:pt idx="0">
                  <c:v>184116.12599999999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B1-4D5E-945E-8C54EF56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185727"/>
        <c:axId val="1679182367"/>
      </c:scatterChart>
      <c:valAx>
        <c:axId val="1679185727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案例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9182367"/>
        <c:crosses val="autoZero"/>
        <c:crossBetween val="midCat"/>
        <c:majorUnit val="1"/>
        <c:minorUnit val="1"/>
      </c:valAx>
      <c:valAx>
        <c:axId val="1679182367"/>
        <c:scaling>
          <c:orientation val="minMax"/>
          <c:max val="184119"/>
          <c:min val="1841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單位</a:t>
                </a:r>
                <a:r>
                  <a:rPr lang="en-US" altLang="zh-TW"/>
                  <a:t>:m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9185727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案例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1~18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之地面座標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YP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最或是值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YP最或是值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工作表2!$A$2:$A$19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工作表2!$C$2:$C$19</c:f>
              <c:numCache>
                <c:formatCode>0.000000</c:formatCode>
                <c:ptCount val="18"/>
                <c:pt idx="0">
                  <c:v>2526216.1146249999</c:v>
                </c:pt>
                <c:pt idx="1">
                  <c:v>2526216.1231979998</c:v>
                </c:pt>
                <c:pt idx="2">
                  <c:v>2526215.994349</c:v>
                </c:pt>
                <c:pt idx="3">
                  <c:v>2526215.8958069999</c:v>
                </c:pt>
                <c:pt idx="4">
                  <c:v>2526215.6523270002</c:v>
                </c:pt>
                <c:pt idx="5">
                  <c:v>2526211.8631279999</c:v>
                </c:pt>
                <c:pt idx="6">
                  <c:v>2526216.1664880002</c:v>
                </c:pt>
                <c:pt idx="7">
                  <c:v>2526216.2331730002</c:v>
                </c:pt>
                <c:pt idx="8">
                  <c:v>2526216.3998870002</c:v>
                </c:pt>
                <c:pt idx="9">
                  <c:v>2526219.4009179999</c:v>
                </c:pt>
                <c:pt idx="10">
                  <c:v>2526216.1209180001</c:v>
                </c:pt>
                <c:pt idx="11">
                  <c:v>2526216.1209180001</c:v>
                </c:pt>
                <c:pt idx="12">
                  <c:v>2526216.1209180001</c:v>
                </c:pt>
                <c:pt idx="13">
                  <c:v>2526216.1209180001</c:v>
                </c:pt>
                <c:pt idx="14">
                  <c:v>2526216.1223860001</c:v>
                </c:pt>
                <c:pt idx="15">
                  <c:v>2526216.1230290001</c:v>
                </c:pt>
                <c:pt idx="16">
                  <c:v>2526216.1246369998</c:v>
                </c:pt>
                <c:pt idx="17">
                  <c:v>2526216.1535680001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15-4D40-AC80-C751C851727F}"/>
            </c:ext>
          </c:extLst>
        </c:ser>
        <c:ser>
          <c:idx val="1"/>
          <c:order val="1"/>
          <c:tx>
            <c:v>YP真值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工作表2!$A$10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工作表2!$C$20</c:f>
              <c:numCache>
                <c:formatCode>0.000000</c:formatCode>
                <c:ptCount val="1"/>
                <c:pt idx="0">
                  <c:v>2526216.1140000001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15-4D40-AC80-C751C851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874687"/>
        <c:axId val="1674875647"/>
      </c:scatterChart>
      <c:valAx>
        <c:axId val="1674874687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案例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4875647"/>
        <c:crosses val="autoZero"/>
        <c:crossBetween val="midCat"/>
        <c:majorUnit val="1"/>
        <c:minorUnit val="1"/>
      </c:valAx>
      <c:valAx>
        <c:axId val="1674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單位</a:t>
                </a:r>
                <a:r>
                  <a:rPr lang="en-US" altLang="zh-TW"/>
                  <a:t>: m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4874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案例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1~18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之地面座標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ZP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最或是值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ZP最或是值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工作表2!$A$2:$A$19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工作表2!$D$2:$D$19</c:f>
              <c:numCache>
                <c:formatCode>0.000000</c:formatCode>
                <c:ptCount val="18"/>
                <c:pt idx="0">
                  <c:v>330.25299200000001</c:v>
                </c:pt>
                <c:pt idx="1">
                  <c:v>329.99312700000002</c:v>
                </c:pt>
                <c:pt idx="2">
                  <c:v>331.50907599999999</c:v>
                </c:pt>
                <c:pt idx="3">
                  <c:v>332.329339</c:v>
                </c:pt>
                <c:pt idx="4">
                  <c:v>334.356493</c:v>
                </c:pt>
                <c:pt idx="5">
                  <c:v>365.89696500000002</c:v>
                </c:pt>
                <c:pt idx="6">
                  <c:v>330.69958300000002</c:v>
                </c:pt>
                <c:pt idx="7">
                  <c:v>330.698601</c:v>
                </c:pt>
                <c:pt idx="8">
                  <c:v>330.69616000000002</c:v>
                </c:pt>
                <c:pt idx="9">
                  <c:v>330.65555799999998</c:v>
                </c:pt>
                <c:pt idx="10">
                  <c:v>329.995475</c:v>
                </c:pt>
                <c:pt idx="11">
                  <c:v>329.99557299999998</c:v>
                </c:pt>
                <c:pt idx="12">
                  <c:v>329.99581799999999</c:v>
                </c:pt>
                <c:pt idx="13">
                  <c:v>330.000204</c:v>
                </c:pt>
                <c:pt idx="14">
                  <c:v>329.99561799999998</c:v>
                </c:pt>
                <c:pt idx="15">
                  <c:v>329.99572899999998</c:v>
                </c:pt>
                <c:pt idx="16">
                  <c:v>329.99600600000002</c:v>
                </c:pt>
                <c:pt idx="17">
                  <c:v>330.00098500000001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A-4844-8EAD-D79C9EE88AEF}"/>
            </c:ext>
          </c:extLst>
        </c:ser>
        <c:ser>
          <c:idx val="1"/>
          <c:order val="1"/>
          <c:tx>
            <c:v>ZP真值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工作表2!$A$10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工作表2!$D$20</c:f>
              <c:numCache>
                <c:formatCode>0.000000</c:formatCode>
                <c:ptCount val="1"/>
                <c:pt idx="0">
                  <c:v>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3A-4844-8EAD-D79C9EE88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772383"/>
        <c:axId val="1675773823"/>
      </c:scatterChart>
      <c:valAx>
        <c:axId val="1675772383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案例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5773823"/>
        <c:crosses val="autoZero"/>
        <c:crossBetween val="midCat"/>
        <c:majorUnit val="1"/>
        <c:minorUnit val="1"/>
      </c:valAx>
      <c:valAx>
        <c:axId val="167577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單位</a:t>
                </a:r>
                <a:r>
                  <a:rPr lang="en-US" altLang="zh-TW"/>
                  <a:t>:m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5772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ZP</a:t>
            </a:r>
            <a:r>
              <a:rPr lang="zh-TW" altLang="en-US"/>
              <a:t>的中誤差和真誤差 比較圖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Z中誤差區間(上)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工作表3!$K$2:$K$19</c:f>
              <c:numCache>
                <c:formatCode>General</c:formatCode>
                <c:ptCount val="18"/>
                <c:pt idx="0">
                  <c:v>0.32997900000000002</c:v>
                </c:pt>
                <c:pt idx="1">
                  <c:v>5.2459999999999998E-3</c:v>
                </c:pt>
                <c:pt idx="2">
                  <c:v>0.53047100000000003</c:v>
                </c:pt>
                <c:pt idx="3">
                  <c:v>0.77523600000000004</c:v>
                </c:pt>
                <c:pt idx="4">
                  <c:v>1.411014</c:v>
                </c:pt>
                <c:pt idx="5">
                  <c:v>10.206647</c:v>
                </c:pt>
                <c:pt idx="6">
                  <c:v>0.74996300000000005</c:v>
                </c:pt>
                <c:pt idx="7">
                  <c:v>1.2708550000000001</c:v>
                </c:pt>
                <c:pt idx="8">
                  <c:v>2.6298590000000002</c:v>
                </c:pt>
                <c:pt idx="9">
                  <c:v>27.476334999999999</c:v>
                </c:pt>
                <c:pt idx="10">
                  <c:v>6.509E-3</c:v>
                </c:pt>
                <c:pt idx="11">
                  <c:v>7.4949999999999999E-3</c:v>
                </c:pt>
                <c:pt idx="12">
                  <c:v>9.8890000000000002E-3</c:v>
                </c:pt>
                <c:pt idx="13">
                  <c:v>9.4331999999999999E-2</c:v>
                </c:pt>
                <c:pt idx="14">
                  <c:v>6.3730000000000002E-3</c:v>
                </c:pt>
                <c:pt idx="15">
                  <c:v>7.3889999999999997E-3</c:v>
                </c:pt>
                <c:pt idx="16">
                  <c:v>1.0984000000000001E-2</c:v>
                </c:pt>
                <c:pt idx="17">
                  <c:v>9.4366000000000005E-2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7B-4590-BB0E-C5329EE793AB}"/>
            </c:ext>
          </c:extLst>
        </c:ser>
        <c:ser>
          <c:idx val="1"/>
          <c:order val="1"/>
          <c:tx>
            <c:v>Z中誤差差區間(下)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工作表3!$L$2:$L$19</c:f>
              <c:numCache>
                <c:formatCode>General</c:formatCode>
                <c:ptCount val="18"/>
                <c:pt idx="0">
                  <c:v>-0.32997900000000002</c:v>
                </c:pt>
                <c:pt idx="1">
                  <c:v>-5.2459999999999998E-3</c:v>
                </c:pt>
                <c:pt idx="2">
                  <c:v>-0.53047100000000003</c:v>
                </c:pt>
                <c:pt idx="3">
                  <c:v>-0.77523600000000004</c:v>
                </c:pt>
                <c:pt idx="4">
                  <c:v>-1.411014</c:v>
                </c:pt>
                <c:pt idx="5">
                  <c:v>-10.206647</c:v>
                </c:pt>
                <c:pt idx="6">
                  <c:v>-0.74996300000000005</c:v>
                </c:pt>
                <c:pt idx="7">
                  <c:v>-1.2708550000000001</c:v>
                </c:pt>
                <c:pt idx="8">
                  <c:v>-2.6298590000000002</c:v>
                </c:pt>
                <c:pt idx="9">
                  <c:v>-27.476334999999999</c:v>
                </c:pt>
                <c:pt idx="10">
                  <c:v>-6.509E-3</c:v>
                </c:pt>
                <c:pt idx="11">
                  <c:v>-7.4949999999999999E-3</c:v>
                </c:pt>
                <c:pt idx="12">
                  <c:v>-9.8890000000000002E-3</c:v>
                </c:pt>
                <c:pt idx="13">
                  <c:v>-9.4331999999999999E-2</c:v>
                </c:pt>
                <c:pt idx="14">
                  <c:v>-6.3730000000000002E-3</c:v>
                </c:pt>
                <c:pt idx="15">
                  <c:v>-7.3889999999999997E-3</c:v>
                </c:pt>
                <c:pt idx="16">
                  <c:v>-1.0984000000000001E-2</c:v>
                </c:pt>
                <c:pt idx="17">
                  <c:v>-9.4366000000000005E-2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7B-4590-BB0E-C5329EE793AB}"/>
            </c:ext>
          </c:extLst>
        </c:ser>
        <c:ser>
          <c:idx val="2"/>
          <c:order val="2"/>
          <c:tx>
            <c:v>真誤差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工作表3!$E$2:$E$19</c:f>
              <c:numCache>
                <c:formatCode>General</c:formatCode>
                <c:ptCount val="18"/>
                <c:pt idx="0">
                  <c:v>3.0660000000000001E-3</c:v>
                </c:pt>
                <c:pt idx="1">
                  <c:v>1.0297000000000001E-2</c:v>
                </c:pt>
                <c:pt idx="2">
                  <c:v>-6.1087000009138137E-2</c:v>
                </c:pt>
                <c:pt idx="3">
                  <c:v>-0.12683100000140257</c:v>
                </c:pt>
                <c:pt idx="4">
                  <c:v>-0.28936000002431683</c:v>
                </c:pt>
                <c:pt idx="5">
                  <c:v>-2.8169029999990016</c:v>
                </c:pt>
                <c:pt idx="6">
                  <c:v>3.8669999921694398E-3</c:v>
                </c:pt>
                <c:pt idx="7">
                  <c:v>4.0119999903254211E-3</c:v>
                </c:pt>
                <c:pt idx="8">
                  <c:v>4.374999989522621E-3</c:v>
                </c:pt>
                <c:pt idx="9">
                  <c:v>1.0903999995207414E-2</c:v>
                </c:pt>
                <c:pt idx="10">
                  <c:v>-1.3360000011743978E-2</c:v>
                </c:pt>
                <c:pt idx="11">
                  <c:v>-1.4001000003190711E-2</c:v>
                </c:pt>
                <c:pt idx="12">
                  <c:v>-1.5601999999489635E-2</c:v>
                </c:pt>
                <c:pt idx="13">
                  <c:v>-4.4425000000046566E-2</c:v>
                </c:pt>
                <c:pt idx="14">
                  <c:v>-1.2626000010641292E-2</c:v>
                </c:pt>
                <c:pt idx="15">
                  <c:v>-1.2622000009287149E-2</c:v>
                </c:pt>
                <c:pt idx="16">
                  <c:v>-1.2612000020453706E-2</c:v>
                </c:pt>
                <c:pt idx="17">
                  <c:v>-1.244099999894388E-2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7B-4590-BB0E-C5329EE79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696959"/>
        <c:axId val="1726693599"/>
      </c:scatterChart>
      <c:valAx>
        <c:axId val="1726696959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6693599"/>
        <c:crosses val="autoZero"/>
        <c:crossBetween val="midCat"/>
        <c:majorUnit val="1"/>
        <c:minorUnit val="1"/>
      </c:valAx>
      <c:valAx>
        <c:axId val="17266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669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400" b="0" i="0" u="none" strike="noStrike" baseline="0">
                <a:effectLst/>
              </a:rPr>
              <a:t>地面坐標真誤差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εXP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工作表3!$E$2:$E$19</c:f>
              <c:numCache>
                <c:formatCode>General</c:formatCode>
                <c:ptCount val="18"/>
                <c:pt idx="0">
                  <c:v>3.0660000000000001E-3</c:v>
                </c:pt>
                <c:pt idx="1">
                  <c:v>1.0297000000000001E-2</c:v>
                </c:pt>
                <c:pt idx="2">
                  <c:v>-6.1087000009138137E-2</c:v>
                </c:pt>
                <c:pt idx="3">
                  <c:v>-0.12683100000140257</c:v>
                </c:pt>
                <c:pt idx="4">
                  <c:v>-0.28936000002431683</c:v>
                </c:pt>
                <c:pt idx="5">
                  <c:v>-2.8169029999990016</c:v>
                </c:pt>
                <c:pt idx="6">
                  <c:v>3.8669999921694398E-3</c:v>
                </c:pt>
                <c:pt idx="7">
                  <c:v>4.0119999903254211E-3</c:v>
                </c:pt>
                <c:pt idx="8">
                  <c:v>4.374999989522621E-3</c:v>
                </c:pt>
                <c:pt idx="9">
                  <c:v>1.0903999995207414E-2</c:v>
                </c:pt>
                <c:pt idx="10">
                  <c:v>-1.3360000011743978E-2</c:v>
                </c:pt>
                <c:pt idx="11">
                  <c:v>-1.4001000003190711E-2</c:v>
                </c:pt>
                <c:pt idx="12">
                  <c:v>-1.5601999999489635E-2</c:v>
                </c:pt>
                <c:pt idx="13">
                  <c:v>-4.4425000000046566E-2</c:v>
                </c:pt>
                <c:pt idx="14">
                  <c:v>-1.2626000010641292E-2</c:v>
                </c:pt>
                <c:pt idx="15">
                  <c:v>-1.2622000009287149E-2</c:v>
                </c:pt>
                <c:pt idx="16">
                  <c:v>-1.2612000020453706E-2</c:v>
                </c:pt>
                <c:pt idx="17">
                  <c:v>-1.244099999894388E-2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C1-436E-B56F-B91FC7832F6C}"/>
            </c:ext>
          </c:extLst>
        </c:ser>
        <c:ser>
          <c:idx val="1"/>
          <c:order val="1"/>
          <c:tx>
            <c:v>εYP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工作表3!$I$2:$I$19</c:f>
              <c:numCache>
                <c:formatCode>General</c:formatCode>
                <c:ptCount val="18"/>
                <c:pt idx="0">
                  <c:v>6.2500000000000001E-4</c:v>
                </c:pt>
                <c:pt idx="1">
                  <c:v>9.1979999999999996E-3</c:v>
                </c:pt>
                <c:pt idx="2">
                  <c:v>0.1196510000154376</c:v>
                </c:pt>
                <c:pt idx="3">
                  <c:v>0.21819300018250942</c:v>
                </c:pt>
                <c:pt idx="4">
                  <c:v>0.4616729998961091</c:v>
                </c:pt>
                <c:pt idx="5">
                  <c:v>4.2508720001205802</c:v>
                </c:pt>
                <c:pt idx="6">
                  <c:v>-5.2488000132143497E-2</c:v>
                </c:pt>
                <c:pt idx="7">
                  <c:v>-0.11917300010100007</c:v>
                </c:pt>
                <c:pt idx="8">
                  <c:v>-0.28588700015097857</c:v>
                </c:pt>
                <c:pt idx="9">
                  <c:v>-3.2869179998524487</c:v>
                </c:pt>
                <c:pt idx="10">
                  <c:v>-6.9180000573396683E-3</c:v>
                </c:pt>
                <c:pt idx="11">
                  <c:v>-6.9180000573396683E-3</c:v>
                </c:pt>
                <c:pt idx="12">
                  <c:v>-6.9180000573396683E-3</c:v>
                </c:pt>
                <c:pt idx="13">
                  <c:v>-6.9180000573396683E-3</c:v>
                </c:pt>
                <c:pt idx="14">
                  <c:v>-8.3860000595450401E-3</c:v>
                </c:pt>
                <c:pt idx="15">
                  <c:v>-9.0290000662207603E-3</c:v>
                </c:pt>
                <c:pt idx="16">
                  <c:v>-1.0636999737471342E-2</c:v>
                </c:pt>
                <c:pt idx="17">
                  <c:v>-3.9568000007420778E-2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C1-436E-B56F-B91FC7832F6C}"/>
            </c:ext>
          </c:extLst>
        </c:ser>
        <c:ser>
          <c:idx val="2"/>
          <c:order val="2"/>
          <c:tx>
            <c:v>εZP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工作表3!$M$2:$M$19</c:f>
              <c:numCache>
                <c:formatCode>General</c:formatCode>
                <c:ptCount val="18"/>
                <c:pt idx="0">
                  <c:v>0.25299199999999999</c:v>
                </c:pt>
                <c:pt idx="1">
                  <c:v>-6.8729999999999998E-3</c:v>
                </c:pt>
                <c:pt idx="2">
                  <c:v>-1.5090759999999932</c:v>
                </c:pt>
                <c:pt idx="3">
                  <c:v>-2.3293390000000045</c:v>
                </c:pt>
                <c:pt idx="4">
                  <c:v>-4.3564930000000004</c:v>
                </c:pt>
                <c:pt idx="5">
                  <c:v>-35.896965000000023</c:v>
                </c:pt>
                <c:pt idx="6">
                  <c:v>-0.69958300000001827</c:v>
                </c:pt>
                <c:pt idx="7">
                  <c:v>-0.69860099999999647</c:v>
                </c:pt>
                <c:pt idx="8">
                  <c:v>-0.69616000000002032</c:v>
                </c:pt>
                <c:pt idx="9">
                  <c:v>-0.65555799999998499</c:v>
                </c:pt>
                <c:pt idx="10">
                  <c:v>4.5250000000010004E-3</c:v>
                </c:pt>
                <c:pt idx="11">
                  <c:v>4.427000000021053E-3</c:v>
                </c:pt>
                <c:pt idx="12">
                  <c:v>4.1820000000143409E-3</c:v>
                </c:pt>
                <c:pt idx="13">
                  <c:v>-2.0399999999654028E-4</c:v>
                </c:pt>
                <c:pt idx="14">
                  <c:v>4.3820000000209802E-3</c:v>
                </c:pt>
                <c:pt idx="15">
                  <c:v>4.2710000000170112E-3</c:v>
                </c:pt>
                <c:pt idx="16">
                  <c:v>3.9939999999774045E-3</c:v>
                </c:pt>
                <c:pt idx="17">
                  <c:v>-9.850000000142245E-4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C1-436E-B56F-B91FC7832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900399"/>
        <c:axId val="811885039"/>
      </c:scatterChart>
      <c:valAx>
        <c:axId val="811900399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1885039"/>
        <c:crosses val="autoZero"/>
        <c:crossBetween val="midCat"/>
        <c:majorUnit val="1"/>
        <c:minorUnit val="0.5"/>
      </c:valAx>
      <c:valAx>
        <c:axId val="811885039"/>
        <c:scaling>
          <c:orientation val="minMax"/>
          <c:max val="0.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190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針對案例</a:t>
            </a:r>
            <a:r>
              <a:rPr lang="en-US" altLang="zh-TW"/>
              <a:t>11~18</a:t>
            </a:r>
            <a:r>
              <a:rPr lang="zh-TW" altLang="en-US"/>
              <a:t>的真誤差圖表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εXP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工作表3!$A$12:$A$19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</c:numCache>
            </c:numRef>
          </c:xVal>
          <c:yVal>
            <c:numRef>
              <c:f>工作表3!$E$12:$E$19</c:f>
              <c:numCache>
                <c:formatCode>General</c:formatCode>
                <c:ptCount val="8"/>
                <c:pt idx="0">
                  <c:v>-1.3360000011743978E-2</c:v>
                </c:pt>
                <c:pt idx="1">
                  <c:v>-1.4001000003190711E-2</c:v>
                </c:pt>
                <c:pt idx="2">
                  <c:v>-1.5601999999489635E-2</c:v>
                </c:pt>
                <c:pt idx="3">
                  <c:v>-4.4425000000046566E-2</c:v>
                </c:pt>
                <c:pt idx="4">
                  <c:v>-1.2626000010641292E-2</c:v>
                </c:pt>
                <c:pt idx="5">
                  <c:v>-1.2622000009287149E-2</c:v>
                </c:pt>
                <c:pt idx="6">
                  <c:v>-1.2612000020453706E-2</c:v>
                </c:pt>
                <c:pt idx="7">
                  <c:v>-1.244099999894388E-2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A6-471B-BD33-5C119D6DCA5F}"/>
            </c:ext>
          </c:extLst>
        </c:ser>
        <c:ser>
          <c:idx val="1"/>
          <c:order val="1"/>
          <c:tx>
            <c:v>εYP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工作表3!$A$12:$A$19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</c:numCache>
            </c:numRef>
          </c:xVal>
          <c:yVal>
            <c:numRef>
              <c:f>工作表3!$I$12:$I$19</c:f>
              <c:numCache>
                <c:formatCode>General</c:formatCode>
                <c:ptCount val="8"/>
                <c:pt idx="0">
                  <c:v>-6.9180000573396683E-3</c:v>
                </c:pt>
                <c:pt idx="1">
                  <c:v>-6.9180000573396683E-3</c:v>
                </c:pt>
                <c:pt idx="2">
                  <c:v>-6.9180000573396683E-3</c:v>
                </c:pt>
                <c:pt idx="3">
                  <c:v>-6.9180000573396683E-3</c:v>
                </c:pt>
                <c:pt idx="4">
                  <c:v>-8.3860000595450401E-3</c:v>
                </c:pt>
                <c:pt idx="5">
                  <c:v>-9.0290000662207603E-3</c:v>
                </c:pt>
                <c:pt idx="6">
                  <c:v>-1.0636999737471342E-2</c:v>
                </c:pt>
                <c:pt idx="7">
                  <c:v>-3.9568000007420778E-2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A6-471B-BD33-5C119D6DCA5F}"/>
            </c:ext>
          </c:extLst>
        </c:ser>
        <c:ser>
          <c:idx val="2"/>
          <c:order val="2"/>
          <c:tx>
            <c:v>εZP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工作表3!$A$12:$A$19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</c:numCache>
            </c:numRef>
          </c:xVal>
          <c:yVal>
            <c:numRef>
              <c:f>工作表3!$M$12:$M$19</c:f>
              <c:numCache>
                <c:formatCode>General</c:formatCode>
                <c:ptCount val="8"/>
                <c:pt idx="0">
                  <c:v>4.5250000000010004E-3</c:v>
                </c:pt>
                <c:pt idx="1">
                  <c:v>4.427000000021053E-3</c:v>
                </c:pt>
                <c:pt idx="2">
                  <c:v>4.1820000000143409E-3</c:v>
                </c:pt>
                <c:pt idx="3">
                  <c:v>-2.0399999999654028E-4</c:v>
                </c:pt>
                <c:pt idx="4">
                  <c:v>4.3820000000209802E-3</c:v>
                </c:pt>
                <c:pt idx="5">
                  <c:v>4.2710000000170112E-3</c:v>
                </c:pt>
                <c:pt idx="6">
                  <c:v>3.9939999999774045E-3</c:v>
                </c:pt>
                <c:pt idx="7">
                  <c:v>-9.850000000142245E-4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A6-471B-BD33-5C119D6DC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106735"/>
        <c:axId val="839108175"/>
      </c:scatterChart>
      <c:valAx>
        <c:axId val="839106735"/>
        <c:scaling>
          <c:orientation val="minMax"/>
          <c:max val="18"/>
          <c:min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9108175"/>
        <c:crosses val="autoZero"/>
        <c:crossBetween val="midCat"/>
      </c:valAx>
      <c:valAx>
        <c:axId val="839108175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910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地面座標精度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X 精度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工作表3!$C$2:$C$19</c:f>
              <c:numCache>
                <c:formatCode>General</c:formatCode>
                <c:ptCount val="18"/>
                <c:pt idx="0">
                  <c:v>3.2363999999999997E-2</c:v>
                </c:pt>
                <c:pt idx="1">
                  <c:v>4.6959999999999997E-3</c:v>
                </c:pt>
                <c:pt idx="2">
                  <c:v>5.2291999999999998E-2</c:v>
                </c:pt>
                <c:pt idx="3">
                  <c:v>7.6674000000000006E-2</c:v>
                </c:pt>
                <c:pt idx="4">
                  <c:v>0.14071700000000001</c:v>
                </c:pt>
                <c:pt idx="5">
                  <c:v>1.1758439999999999</c:v>
                </c:pt>
                <c:pt idx="6">
                  <c:v>7.3687000000000002E-2</c:v>
                </c:pt>
                <c:pt idx="7">
                  <c:v>0.12486700000000001</c:v>
                </c:pt>
                <c:pt idx="8">
                  <c:v>0.25839200000000001</c:v>
                </c:pt>
                <c:pt idx="9">
                  <c:v>2.6991990000000001</c:v>
                </c:pt>
                <c:pt idx="10">
                  <c:v>5.8269999999999997E-3</c:v>
                </c:pt>
                <c:pt idx="11">
                  <c:v>6.7089999999999997E-3</c:v>
                </c:pt>
                <c:pt idx="12">
                  <c:v>9.8779999999999996E-3</c:v>
                </c:pt>
                <c:pt idx="13">
                  <c:v>8.4448999999999996E-2</c:v>
                </c:pt>
                <c:pt idx="14">
                  <c:v>5.7039999999999999E-3</c:v>
                </c:pt>
                <c:pt idx="15">
                  <c:v>6.6140000000000001E-3</c:v>
                </c:pt>
                <c:pt idx="16">
                  <c:v>9.8320000000000005E-3</c:v>
                </c:pt>
                <c:pt idx="17">
                  <c:v>8.448E-2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0B-4521-AE2A-4D5D08E5BC52}"/>
            </c:ext>
          </c:extLst>
        </c:ser>
        <c:ser>
          <c:idx val="1"/>
          <c:order val="1"/>
          <c:tx>
            <c:v>Y精度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工作表3!$G$2:$G$19</c:f>
              <c:numCache>
                <c:formatCode>General</c:formatCode>
                <c:ptCount val="18"/>
                <c:pt idx="0">
                  <c:v>5.1173000000000003E-2</c:v>
                </c:pt>
                <c:pt idx="1">
                  <c:v>4.7010000000000003E-3</c:v>
                </c:pt>
                <c:pt idx="2">
                  <c:v>8.2482E-2</c:v>
                </c:pt>
                <c:pt idx="3">
                  <c:v>0.120702</c:v>
                </c:pt>
                <c:pt idx="4">
                  <c:v>0.22042500000000001</c:v>
                </c:pt>
                <c:pt idx="5">
                  <c:v>1.694294</c:v>
                </c:pt>
                <c:pt idx="6">
                  <c:v>0.116633</c:v>
                </c:pt>
                <c:pt idx="7">
                  <c:v>0.197904</c:v>
                </c:pt>
                <c:pt idx="8">
                  <c:v>0.41089799999999999</c:v>
                </c:pt>
                <c:pt idx="9">
                  <c:v>4.5541650000000002</c:v>
                </c:pt>
                <c:pt idx="10">
                  <c:v>5.8329999999999996E-3</c:v>
                </c:pt>
                <c:pt idx="11">
                  <c:v>6.7159999999999997E-3</c:v>
                </c:pt>
                <c:pt idx="12">
                  <c:v>9.8890000000000002E-3</c:v>
                </c:pt>
                <c:pt idx="13">
                  <c:v>8.4542999999999993E-2</c:v>
                </c:pt>
                <c:pt idx="14">
                  <c:v>5.7109999999999999E-3</c:v>
                </c:pt>
                <c:pt idx="15">
                  <c:v>6.6210000000000001E-3</c:v>
                </c:pt>
                <c:pt idx="16">
                  <c:v>9.8429999999999993E-3</c:v>
                </c:pt>
                <c:pt idx="17">
                  <c:v>8.4572999999999995E-2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0B-4521-AE2A-4D5D08E5BC52}"/>
            </c:ext>
          </c:extLst>
        </c:ser>
        <c:ser>
          <c:idx val="2"/>
          <c:order val="2"/>
          <c:tx>
            <c:v>Z精度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工作表3!$A$2:$A$19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工作表3!$K$2:$K$19</c:f>
              <c:numCache>
                <c:formatCode>General</c:formatCode>
                <c:ptCount val="18"/>
                <c:pt idx="0">
                  <c:v>0.32997900000000002</c:v>
                </c:pt>
                <c:pt idx="1">
                  <c:v>5.2459999999999998E-3</c:v>
                </c:pt>
                <c:pt idx="2">
                  <c:v>0.53047100000000003</c:v>
                </c:pt>
                <c:pt idx="3">
                  <c:v>0.77523600000000004</c:v>
                </c:pt>
                <c:pt idx="4">
                  <c:v>1.411014</c:v>
                </c:pt>
                <c:pt idx="5">
                  <c:v>10.206647</c:v>
                </c:pt>
                <c:pt idx="6">
                  <c:v>0.74996300000000005</c:v>
                </c:pt>
                <c:pt idx="7">
                  <c:v>1.2708550000000001</c:v>
                </c:pt>
                <c:pt idx="8">
                  <c:v>2.6298590000000002</c:v>
                </c:pt>
                <c:pt idx="9">
                  <c:v>27.476334999999999</c:v>
                </c:pt>
                <c:pt idx="10">
                  <c:v>6.509E-3</c:v>
                </c:pt>
                <c:pt idx="11">
                  <c:v>7.4949999999999999E-3</c:v>
                </c:pt>
                <c:pt idx="12">
                  <c:v>9.8890000000000002E-3</c:v>
                </c:pt>
                <c:pt idx="13">
                  <c:v>9.4331999999999999E-2</c:v>
                </c:pt>
                <c:pt idx="14">
                  <c:v>6.3730000000000002E-3</c:v>
                </c:pt>
                <c:pt idx="15">
                  <c:v>7.3889999999999997E-3</c:v>
                </c:pt>
                <c:pt idx="16">
                  <c:v>1.0984000000000001E-2</c:v>
                </c:pt>
                <c:pt idx="17">
                  <c:v>9.4366000000000005E-2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0B-4521-AE2A-4D5D08E5B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249952"/>
        <c:axId val="2025250912"/>
      </c:scatterChart>
      <c:valAx>
        <c:axId val="2025249952"/>
        <c:scaling>
          <c:orientation val="minMax"/>
          <c:max val="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25250912"/>
        <c:crosses val="autoZero"/>
        <c:crossBetween val="midCat"/>
        <c:majorUnit val="1"/>
      </c:valAx>
      <c:valAx>
        <c:axId val="2025250912"/>
        <c:scaling>
          <c:orientation val="minMax"/>
          <c:max val="4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25249952"/>
        <c:crosses val="autoZero"/>
        <c:crossBetween val="midCat"/>
        <c:majorUnit val="1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工作表4!$B$1</c:f>
              <c:strCache>
                <c:ptCount val="1"/>
                <c:pt idx="0">
                  <c:v>後驗單位權中誤差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工作表4!$A$2:$A$19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工作表4!$B$2:$B$19</c:f>
              <c:numCache>
                <c:formatCode>General</c:formatCode>
                <c:ptCount val="18"/>
                <c:pt idx="0">
                  <c:v>0.56102545159200001</c:v>
                </c:pt>
                <c:pt idx="1">
                  <c:v>0.82814247607500002</c:v>
                </c:pt>
                <c:pt idx="2">
                  <c:v>0.91104399999999996</c:v>
                </c:pt>
                <c:pt idx="3">
                  <c:v>1.3402480000000001</c:v>
                </c:pt>
                <c:pt idx="4">
                  <c:v>2.4798490000000002</c:v>
                </c:pt>
                <c:pt idx="5">
                  <c:v>23.616510999999999</c:v>
                </c:pt>
                <c:pt idx="6">
                  <c:v>1.279649</c:v>
                </c:pt>
                <c:pt idx="7">
                  <c:v>2.1684190000000001</c:v>
                </c:pt>
                <c:pt idx="8">
                  <c:v>4.4871499999999997</c:v>
                </c:pt>
                <c:pt idx="9">
                  <c:v>46.864632</c:v>
                </c:pt>
                <c:pt idx="10">
                  <c:v>1.0275810000000001</c:v>
                </c:pt>
                <c:pt idx="11">
                  <c:v>1.183171</c:v>
                </c:pt>
                <c:pt idx="12">
                  <c:v>1.742138</c:v>
                </c:pt>
                <c:pt idx="13">
                  <c:v>14.894461</c:v>
                </c:pt>
                <c:pt idx="14">
                  <c:v>1.0060100000000001</c:v>
                </c:pt>
                <c:pt idx="15">
                  <c:v>1.16639</c:v>
                </c:pt>
                <c:pt idx="16">
                  <c:v>1.7339869999999999</c:v>
                </c:pt>
                <c:pt idx="17">
                  <c:v>14.900111000000001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D-46C6-A3D4-F377CE804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768159"/>
        <c:axId val="291768639"/>
      </c:scatterChart>
      <c:valAx>
        <c:axId val="291768159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baseline="0"/>
                  <a:t> </a:t>
                </a:r>
                <a:r>
                  <a:rPr lang="zh-TW" altLang="en-US" baseline="0"/>
                  <a:t>案例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1768639"/>
        <c:crosses val="autoZero"/>
        <c:crossBetween val="midCat"/>
        <c:majorUnit val="1"/>
        <c:minorUnit val="1"/>
      </c:valAx>
      <c:valAx>
        <c:axId val="29176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單位</a:t>
                </a:r>
                <a:r>
                  <a:rPr lang="en-US" altLang="zh-TW"/>
                  <a:t>:m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176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87630</xdr:rowOff>
    </xdr:from>
    <xdr:to>
      <xdr:col>15</xdr:col>
      <xdr:colOff>228600</xdr:colOff>
      <xdr:row>18</xdr:row>
      <xdr:rowOff>156210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6217DF4-9499-B779-EA1F-F2D2AA5EC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0</xdr:row>
      <xdr:rowOff>125730</xdr:rowOff>
    </xdr:from>
    <xdr:to>
      <xdr:col>11</xdr:col>
      <xdr:colOff>335280</xdr:colOff>
      <xdr:row>11</xdr:row>
      <xdr:rowOff>53340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4E35BA9-7938-B166-8566-9E9F34F49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11</xdr:row>
      <xdr:rowOff>156210</xdr:rowOff>
    </xdr:from>
    <xdr:to>
      <xdr:col>13</xdr:col>
      <xdr:colOff>175260</xdr:colOff>
      <xdr:row>27</xdr:row>
      <xdr:rowOff>91440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F1B2B188-1E99-7C80-9B79-A80660037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</xdr:colOff>
      <xdr:row>22</xdr:row>
      <xdr:rowOff>80010</xdr:rowOff>
    </xdr:from>
    <xdr:to>
      <xdr:col>5</xdr:col>
      <xdr:colOff>152400</xdr:colOff>
      <xdr:row>36</xdr:row>
      <xdr:rowOff>160020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41D90B99-7EDC-DFE5-0597-80CAD1719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29</xdr:row>
      <xdr:rowOff>190500</xdr:rowOff>
    </xdr:from>
    <xdr:to>
      <xdr:col>12</xdr:col>
      <xdr:colOff>579120</xdr:colOff>
      <xdr:row>46</xdr:row>
      <xdr:rowOff>110490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92B5E8F-66EF-082C-CDA9-F1348E866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762000</xdr:colOff>
      <xdr:row>31</xdr:row>
      <xdr:rowOff>11430</xdr:rowOff>
    </xdr:from>
    <xdr:to>
      <xdr:col>6</xdr:col>
      <xdr:colOff>144780</xdr:colOff>
      <xdr:row>44</xdr:row>
      <xdr:rowOff>80010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522C9D1-E861-A680-B65E-EEF652946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83820</xdr:colOff>
      <xdr:row>22</xdr:row>
      <xdr:rowOff>186690</xdr:rowOff>
    </xdr:from>
    <xdr:to>
      <xdr:col>7</xdr:col>
      <xdr:colOff>274320</xdr:colOff>
      <xdr:row>36</xdr:row>
      <xdr:rowOff>49530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E52FBE4-5336-395F-F413-A30BF28D1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</xdr:colOff>
      <xdr:row>6</xdr:row>
      <xdr:rowOff>11430</xdr:rowOff>
    </xdr:from>
    <xdr:to>
      <xdr:col>6</xdr:col>
      <xdr:colOff>274320</xdr:colOff>
      <xdr:row>19</xdr:row>
      <xdr:rowOff>80010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A2E6D1F-5715-D2B4-94D3-38C8C042E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</xdr:row>
      <xdr:rowOff>194310</xdr:rowOff>
    </xdr:from>
    <xdr:to>
      <xdr:col>13</xdr:col>
      <xdr:colOff>160020</xdr:colOff>
      <xdr:row>20</xdr:row>
      <xdr:rowOff>22860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CDE0FA7-C0FB-A9B9-C50E-55DF08E6F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9682-E674-4149-80D8-A2049A356ED0}">
  <dimension ref="A1:B19"/>
  <sheetViews>
    <sheetView workbookViewId="0">
      <selection activeCell="R7" sqref="R7"/>
    </sheetView>
  </sheetViews>
  <sheetFormatPr defaultRowHeight="16.2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</v>
      </c>
    </row>
    <row r="3" spans="1:2" x14ac:dyDescent="0.3">
      <c r="A3">
        <v>2</v>
      </c>
      <c r="B3">
        <v>3</v>
      </c>
    </row>
    <row r="4" spans="1:2" x14ac:dyDescent="0.3">
      <c r="A4">
        <v>3</v>
      </c>
      <c r="B4">
        <v>3</v>
      </c>
    </row>
    <row r="5" spans="1:2" x14ac:dyDescent="0.3">
      <c r="A5">
        <v>4</v>
      </c>
      <c r="B5">
        <v>3</v>
      </c>
    </row>
    <row r="6" spans="1:2" x14ac:dyDescent="0.3">
      <c r="A6">
        <v>5</v>
      </c>
      <c r="B6">
        <v>3</v>
      </c>
    </row>
    <row r="7" spans="1:2" x14ac:dyDescent="0.3">
      <c r="A7">
        <v>6</v>
      </c>
      <c r="B7">
        <v>4</v>
      </c>
    </row>
    <row r="8" spans="1:2" x14ac:dyDescent="0.3">
      <c r="A8">
        <v>7</v>
      </c>
      <c r="B8">
        <v>3</v>
      </c>
    </row>
    <row r="9" spans="1:2" x14ac:dyDescent="0.3">
      <c r="A9">
        <v>8</v>
      </c>
      <c r="B9">
        <v>3</v>
      </c>
    </row>
    <row r="10" spans="1:2" x14ac:dyDescent="0.3">
      <c r="A10">
        <v>9</v>
      </c>
      <c r="B10">
        <v>3</v>
      </c>
    </row>
    <row r="11" spans="1:2" x14ac:dyDescent="0.3">
      <c r="A11">
        <v>10</v>
      </c>
      <c r="B11">
        <v>3</v>
      </c>
    </row>
    <row r="12" spans="1:2" x14ac:dyDescent="0.3">
      <c r="A12">
        <v>11</v>
      </c>
      <c r="B12">
        <v>3</v>
      </c>
    </row>
    <row r="13" spans="1:2" x14ac:dyDescent="0.3">
      <c r="A13">
        <v>12</v>
      </c>
      <c r="B13">
        <v>3</v>
      </c>
    </row>
    <row r="14" spans="1:2" x14ac:dyDescent="0.3">
      <c r="A14">
        <v>13</v>
      </c>
      <c r="B14">
        <v>3</v>
      </c>
    </row>
    <row r="15" spans="1:2" x14ac:dyDescent="0.3">
      <c r="A15">
        <v>14</v>
      </c>
      <c r="B15">
        <v>3</v>
      </c>
    </row>
    <row r="16" spans="1:2" x14ac:dyDescent="0.3">
      <c r="A16">
        <v>15</v>
      </c>
      <c r="B16">
        <v>3</v>
      </c>
    </row>
    <row r="17" spans="1:2" x14ac:dyDescent="0.3">
      <c r="A17">
        <v>16</v>
      </c>
      <c r="B17">
        <v>3</v>
      </c>
    </row>
    <row r="18" spans="1:2" x14ac:dyDescent="0.3">
      <c r="A18">
        <v>17</v>
      </c>
      <c r="B18">
        <v>3</v>
      </c>
    </row>
    <row r="19" spans="1:2" x14ac:dyDescent="0.3">
      <c r="A19">
        <v>18</v>
      </c>
      <c r="B19">
        <v>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33F1-96BD-4A21-B372-C2B832B8DC77}">
  <dimension ref="A1:D20"/>
  <sheetViews>
    <sheetView workbookViewId="0">
      <selection sqref="A1:D20"/>
    </sheetView>
  </sheetViews>
  <sheetFormatPr defaultRowHeight="16.2" x14ac:dyDescent="0.3"/>
  <cols>
    <col min="1" max="1" width="16" customWidth="1"/>
    <col min="2" max="2" width="28" customWidth="1"/>
    <col min="3" max="3" width="16.44140625" customWidth="1"/>
    <col min="4" max="4" width="16.6640625" bestFit="1" customWidth="1"/>
  </cols>
  <sheetData>
    <row r="1" spans="1:4" x14ac:dyDescent="0.3">
      <c r="B1" t="s">
        <v>2</v>
      </c>
      <c r="C1" t="s">
        <v>3</v>
      </c>
      <c r="D1" t="s">
        <v>4</v>
      </c>
    </row>
    <row r="2" spans="1:4" x14ac:dyDescent="0.3">
      <c r="A2">
        <v>1</v>
      </c>
      <c r="B2" s="1">
        <v>184116.12906599999</v>
      </c>
      <c r="C2" s="1">
        <v>2526216.1146249999</v>
      </c>
      <c r="D2" s="1">
        <v>330.25299200000001</v>
      </c>
    </row>
    <row r="3" spans="1:4" x14ac:dyDescent="0.3">
      <c r="A3">
        <v>2</v>
      </c>
      <c r="B3" s="1">
        <v>184116.13629699999</v>
      </c>
      <c r="C3" s="1">
        <v>2526216.1231979998</v>
      </c>
      <c r="D3" s="1">
        <v>329.99312700000002</v>
      </c>
    </row>
    <row r="4" spans="1:4" x14ac:dyDescent="0.3">
      <c r="A4">
        <v>3</v>
      </c>
      <c r="B4" s="1">
        <v>184116.187087</v>
      </c>
      <c r="C4" s="1">
        <v>2526215.994349</v>
      </c>
      <c r="D4" s="1">
        <v>331.50907599999999</v>
      </c>
    </row>
    <row r="5" spans="1:4" x14ac:dyDescent="0.3">
      <c r="A5">
        <v>4</v>
      </c>
      <c r="B5" s="1">
        <v>184116.25283099999</v>
      </c>
      <c r="C5" s="1">
        <v>2526215.8958069999</v>
      </c>
      <c r="D5" s="1">
        <v>332.329339</v>
      </c>
    </row>
    <row r="6" spans="1:4" x14ac:dyDescent="0.3">
      <c r="A6">
        <v>5</v>
      </c>
      <c r="B6" s="1">
        <v>184116.41536000001</v>
      </c>
      <c r="C6" s="1">
        <v>2526215.6523270002</v>
      </c>
      <c r="D6" s="1">
        <v>334.356493</v>
      </c>
    </row>
    <row r="7" spans="1:4" x14ac:dyDescent="0.3">
      <c r="A7">
        <v>6</v>
      </c>
      <c r="B7" s="1">
        <v>184118.94290299999</v>
      </c>
      <c r="C7" s="1">
        <v>2526211.8631279999</v>
      </c>
      <c r="D7" s="1">
        <v>365.89696500000002</v>
      </c>
    </row>
    <row r="8" spans="1:4" x14ac:dyDescent="0.3">
      <c r="A8">
        <v>7</v>
      </c>
      <c r="B8" s="1">
        <v>184116.122133</v>
      </c>
      <c r="C8" s="1">
        <v>2526216.1664880002</v>
      </c>
      <c r="D8" s="1">
        <v>330.69958300000002</v>
      </c>
    </row>
    <row r="9" spans="1:4" x14ac:dyDescent="0.3">
      <c r="A9">
        <v>8</v>
      </c>
      <c r="B9" s="1">
        <v>184116.121988</v>
      </c>
      <c r="C9" s="1">
        <v>2526216.2331730002</v>
      </c>
      <c r="D9" s="1">
        <v>330.698601</v>
      </c>
    </row>
    <row r="10" spans="1:4" x14ac:dyDescent="0.3">
      <c r="A10">
        <v>9</v>
      </c>
      <c r="B10" s="1">
        <v>184116.121625</v>
      </c>
      <c r="C10" s="1">
        <v>2526216.3998870002</v>
      </c>
      <c r="D10" s="1">
        <v>330.69616000000002</v>
      </c>
    </row>
    <row r="11" spans="1:4" x14ac:dyDescent="0.3">
      <c r="A11">
        <v>10</v>
      </c>
      <c r="B11" s="1">
        <v>184116.11509599999</v>
      </c>
      <c r="C11" s="1">
        <v>2526219.4009179999</v>
      </c>
      <c r="D11" s="1">
        <v>330.65555799999998</v>
      </c>
    </row>
    <row r="12" spans="1:4" x14ac:dyDescent="0.3">
      <c r="A12">
        <v>11</v>
      </c>
      <c r="B12" s="1">
        <v>184116.13936</v>
      </c>
      <c r="C12" s="1">
        <v>2526216.1209180001</v>
      </c>
      <c r="D12" s="1">
        <v>329.995475</v>
      </c>
    </row>
    <row r="13" spans="1:4" x14ac:dyDescent="0.3">
      <c r="A13">
        <v>12</v>
      </c>
      <c r="B13" s="1">
        <v>184116.14000099999</v>
      </c>
      <c r="C13" s="1">
        <v>2526216.1209180001</v>
      </c>
      <c r="D13" s="1">
        <v>329.99557299999998</v>
      </c>
    </row>
    <row r="14" spans="1:4" x14ac:dyDescent="0.3">
      <c r="A14">
        <v>13</v>
      </c>
      <c r="B14" s="1">
        <v>184116.14160199999</v>
      </c>
      <c r="C14" s="1">
        <v>2526216.1209180001</v>
      </c>
      <c r="D14" s="1">
        <v>329.99581799999999</v>
      </c>
    </row>
    <row r="15" spans="1:4" x14ac:dyDescent="0.3">
      <c r="A15">
        <v>14</v>
      </c>
      <c r="B15" s="1">
        <v>184116.17042499999</v>
      </c>
      <c r="C15" s="1">
        <v>2526216.1209180001</v>
      </c>
      <c r="D15" s="1">
        <v>330.000204</v>
      </c>
    </row>
    <row r="16" spans="1:4" x14ac:dyDescent="0.3">
      <c r="A16">
        <v>15</v>
      </c>
      <c r="B16" s="1">
        <v>184116.138626</v>
      </c>
      <c r="C16" s="1">
        <v>2526216.1223860001</v>
      </c>
      <c r="D16" s="1">
        <v>329.99561799999998</v>
      </c>
    </row>
    <row r="17" spans="1:4" x14ac:dyDescent="0.3">
      <c r="A17">
        <v>16</v>
      </c>
      <c r="B17" s="1">
        <v>184116.138622</v>
      </c>
      <c r="C17" s="1">
        <v>2526216.1230290001</v>
      </c>
      <c r="D17" s="1">
        <v>329.99572899999998</v>
      </c>
    </row>
    <row r="18" spans="1:4" x14ac:dyDescent="0.3">
      <c r="A18">
        <v>17</v>
      </c>
      <c r="B18" s="1">
        <v>184116.13861200001</v>
      </c>
      <c r="C18" s="1">
        <v>2526216.1246369998</v>
      </c>
      <c r="D18" s="1">
        <v>329.99600600000002</v>
      </c>
    </row>
    <row r="19" spans="1:4" x14ac:dyDescent="0.3">
      <c r="A19">
        <v>18</v>
      </c>
      <c r="B19" s="1">
        <v>184116.13844099999</v>
      </c>
      <c r="C19" s="1">
        <v>2526216.1535680001</v>
      </c>
      <c r="D19" s="1">
        <v>330.00098500000001</v>
      </c>
    </row>
    <row r="20" spans="1:4" x14ac:dyDescent="0.3">
      <c r="B20" s="1">
        <v>184116.12599999999</v>
      </c>
      <c r="C20" s="1">
        <v>2526216.1140000001</v>
      </c>
      <c r="D20" s="1">
        <v>330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92D1-5F81-46E2-9F51-4B31B02A8624}">
  <dimension ref="A1:M21"/>
  <sheetViews>
    <sheetView tabSelected="1" topLeftCell="A21" workbookViewId="0">
      <selection activeCell="H1" sqref="H1"/>
    </sheetView>
  </sheetViews>
  <sheetFormatPr defaultRowHeight="16.2" x14ac:dyDescent="0.3"/>
  <cols>
    <col min="1" max="1" width="8.21875" customWidth="1"/>
    <col min="2" max="3" width="12.88671875" customWidth="1"/>
    <col min="4" max="4" width="16.6640625" customWidth="1"/>
    <col min="5" max="5" width="19.21875" customWidth="1"/>
    <col min="6" max="7" width="14" customWidth="1"/>
    <col min="8" max="8" width="19.6640625" customWidth="1"/>
    <col min="9" max="9" width="11.6640625" customWidth="1"/>
    <col min="10" max="11" width="14.109375" customWidth="1"/>
    <col min="12" max="12" width="13.5546875" customWidth="1"/>
    <col min="13" max="13" width="13.21875" customWidth="1"/>
  </cols>
  <sheetData>
    <row r="1" spans="1:13" ht="19.2" customHeight="1" x14ac:dyDescent="0.3">
      <c r="A1" t="s">
        <v>0</v>
      </c>
      <c r="B1" t="s">
        <v>5</v>
      </c>
      <c r="D1" s="2" t="s">
        <v>67</v>
      </c>
      <c r="E1" s="3" t="s">
        <v>11</v>
      </c>
      <c r="F1" t="s">
        <v>6</v>
      </c>
      <c r="H1" s="2" t="s">
        <v>8</v>
      </c>
      <c r="I1" s="3" t="s">
        <v>9</v>
      </c>
      <c r="J1" t="s">
        <v>7</v>
      </c>
      <c r="L1" t="s">
        <v>12</v>
      </c>
      <c r="M1" s="3" t="s">
        <v>10</v>
      </c>
    </row>
    <row r="2" spans="1:13" x14ac:dyDescent="0.3">
      <c r="A2">
        <v>1</v>
      </c>
      <c r="B2">
        <v>184116.12906599999</v>
      </c>
      <c r="C2">
        <v>3.2363999999999997E-2</v>
      </c>
      <c r="D2">
        <v>-3.2363999999999997E-2</v>
      </c>
      <c r="E2">
        <v>3.0660000000000001E-3</v>
      </c>
      <c r="F2">
        <v>2526216.1146249999</v>
      </c>
      <c r="G2">
        <v>5.1173000000000003E-2</v>
      </c>
      <c r="H2">
        <v>-5.1173000000000003E-2</v>
      </c>
      <c r="I2">
        <v>6.2500000000000001E-4</v>
      </c>
      <c r="J2">
        <v>330.25299200000001</v>
      </c>
      <c r="K2">
        <v>0.32997900000000002</v>
      </c>
      <c r="L2">
        <f>K2*-1</f>
        <v>-0.32997900000000002</v>
      </c>
      <c r="M2">
        <v>0.25299199999999999</v>
      </c>
    </row>
    <row r="3" spans="1:13" x14ac:dyDescent="0.3">
      <c r="A3">
        <v>2</v>
      </c>
      <c r="B3">
        <v>184116.13629699999</v>
      </c>
      <c r="C3">
        <v>4.6959999999999997E-3</v>
      </c>
      <c r="D3">
        <v>-4.6959999999999997E-3</v>
      </c>
      <c r="E3">
        <v>1.0297000000000001E-2</v>
      </c>
      <c r="F3">
        <v>2526216.1231979998</v>
      </c>
      <c r="G3">
        <v>4.7010000000000003E-3</v>
      </c>
      <c r="H3">
        <v>-4.7010000000000003E-3</v>
      </c>
      <c r="I3">
        <v>9.1979999999999996E-3</v>
      </c>
      <c r="J3">
        <v>329.99312700000002</v>
      </c>
      <c r="K3">
        <v>5.2459999999999998E-3</v>
      </c>
      <c r="L3">
        <f t="shared" ref="L3:L19" si="0">K3*-1</f>
        <v>-5.2459999999999998E-3</v>
      </c>
      <c r="M3">
        <v>-6.8729999999999998E-3</v>
      </c>
    </row>
    <row r="4" spans="1:13" x14ac:dyDescent="0.3">
      <c r="A4">
        <v>3</v>
      </c>
      <c r="B4">
        <v>184116.187087</v>
      </c>
      <c r="C4">
        <v>5.2291999999999998E-2</v>
      </c>
      <c r="D4">
        <v>-5.2291999999999998E-2</v>
      </c>
      <c r="E4">
        <f>B21-B4</f>
        <v>-6.1087000009138137E-2</v>
      </c>
      <c r="F4">
        <v>2526215.994349</v>
      </c>
      <c r="G4">
        <v>8.2482E-2</v>
      </c>
      <c r="H4">
        <v>-8.2482E-2</v>
      </c>
      <c r="I4">
        <v>0.1196510000154376</v>
      </c>
      <c r="J4">
        <v>331.50907599999999</v>
      </c>
      <c r="K4">
        <v>0.53047100000000003</v>
      </c>
      <c r="L4">
        <f t="shared" si="0"/>
        <v>-0.53047100000000003</v>
      </c>
      <c r="M4">
        <f>J21-J4</f>
        <v>-1.5090759999999932</v>
      </c>
    </row>
    <row r="5" spans="1:13" x14ac:dyDescent="0.3">
      <c r="A5">
        <v>4</v>
      </c>
      <c r="B5">
        <v>184116.25283099999</v>
      </c>
      <c r="C5">
        <v>7.6674000000000006E-2</v>
      </c>
      <c r="D5">
        <v>-7.6674000000000006E-2</v>
      </c>
      <c r="E5">
        <f>B21-B5</f>
        <v>-0.12683100000140257</v>
      </c>
      <c r="F5">
        <v>2526215.8958069999</v>
      </c>
      <c r="G5">
        <v>0.120702</v>
      </c>
      <c r="H5">
        <v>-0.120702</v>
      </c>
      <c r="I5">
        <v>0.21819300018250942</v>
      </c>
      <c r="J5">
        <v>332.329339</v>
      </c>
      <c r="K5">
        <v>0.77523600000000004</v>
      </c>
      <c r="L5">
        <f t="shared" si="0"/>
        <v>-0.77523600000000004</v>
      </c>
      <c r="M5">
        <f>J21-J5</f>
        <v>-2.3293390000000045</v>
      </c>
    </row>
    <row r="6" spans="1:13" x14ac:dyDescent="0.3">
      <c r="A6">
        <v>5</v>
      </c>
      <c r="B6">
        <v>184116.41536000001</v>
      </c>
      <c r="C6">
        <v>0.14071700000000001</v>
      </c>
      <c r="D6">
        <v>-0.14071700000000001</v>
      </c>
      <c r="E6">
        <f>B21-B6</f>
        <v>-0.28936000002431683</v>
      </c>
      <c r="F6">
        <v>2526215.6523270002</v>
      </c>
      <c r="G6">
        <v>0.22042500000000001</v>
      </c>
      <c r="H6">
        <v>-0.22042500000000001</v>
      </c>
      <c r="I6">
        <v>0.4616729998961091</v>
      </c>
      <c r="J6">
        <v>334.356493</v>
      </c>
      <c r="K6">
        <v>1.411014</v>
      </c>
      <c r="L6">
        <f t="shared" si="0"/>
        <v>-1.411014</v>
      </c>
      <c r="M6">
        <f>J21-J6</f>
        <v>-4.3564930000000004</v>
      </c>
    </row>
    <row r="7" spans="1:13" x14ac:dyDescent="0.3">
      <c r="A7">
        <v>6</v>
      </c>
      <c r="B7">
        <v>184118.94290299999</v>
      </c>
      <c r="C7">
        <v>1.1758439999999999</v>
      </c>
      <c r="D7">
        <v>-1.1758439999999999</v>
      </c>
      <c r="E7">
        <f>B21-B7</f>
        <v>-2.8169029999990016</v>
      </c>
      <c r="F7">
        <v>2526211.8631279999</v>
      </c>
      <c r="G7">
        <v>1.694294</v>
      </c>
      <c r="H7">
        <v>-1.694294</v>
      </c>
      <c r="I7">
        <v>4.2508720001205802</v>
      </c>
      <c r="J7">
        <v>365.89696500000002</v>
      </c>
      <c r="K7">
        <v>10.206647</v>
      </c>
      <c r="L7">
        <f t="shared" si="0"/>
        <v>-10.206647</v>
      </c>
      <c r="M7">
        <f>J21-J7</f>
        <v>-35.896965000000023</v>
      </c>
    </row>
    <row r="8" spans="1:13" x14ac:dyDescent="0.3">
      <c r="A8">
        <v>7</v>
      </c>
      <c r="B8">
        <v>184116.122133</v>
      </c>
      <c r="C8">
        <v>7.3687000000000002E-2</v>
      </c>
      <c r="D8">
        <v>-7.3687000000000002E-2</v>
      </c>
      <c r="E8">
        <f>B21-B8</f>
        <v>3.8669999921694398E-3</v>
      </c>
      <c r="F8">
        <v>2526216.1664880002</v>
      </c>
      <c r="G8">
        <v>0.116633</v>
      </c>
      <c r="H8">
        <v>-0.116633</v>
      </c>
      <c r="I8">
        <v>-5.2488000132143497E-2</v>
      </c>
      <c r="J8">
        <v>330.69958300000002</v>
      </c>
      <c r="K8">
        <v>0.74996300000000005</v>
      </c>
      <c r="L8">
        <f t="shared" si="0"/>
        <v>-0.74996300000000005</v>
      </c>
      <c r="M8">
        <f>J21-J8</f>
        <v>-0.69958300000001827</v>
      </c>
    </row>
    <row r="9" spans="1:13" x14ac:dyDescent="0.3">
      <c r="A9">
        <v>8</v>
      </c>
      <c r="B9">
        <v>184116.121988</v>
      </c>
      <c r="C9">
        <v>0.12486700000000001</v>
      </c>
      <c r="D9">
        <v>-0.12486700000000001</v>
      </c>
      <c r="E9">
        <f>B21-B9</f>
        <v>4.0119999903254211E-3</v>
      </c>
      <c r="F9">
        <v>2526216.2331730002</v>
      </c>
      <c r="G9">
        <v>0.197904</v>
      </c>
      <c r="H9">
        <v>-0.197904</v>
      </c>
      <c r="I9">
        <v>-0.11917300010100007</v>
      </c>
      <c r="J9">
        <v>330.698601</v>
      </c>
      <c r="K9">
        <v>1.2708550000000001</v>
      </c>
      <c r="L9">
        <f t="shared" si="0"/>
        <v>-1.2708550000000001</v>
      </c>
      <c r="M9">
        <f>J21-J9</f>
        <v>-0.69860099999999647</v>
      </c>
    </row>
    <row r="10" spans="1:13" x14ac:dyDescent="0.3">
      <c r="A10">
        <v>9</v>
      </c>
      <c r="B10">
        <v>184116.121625</v>
      </c>
      <c r="C10">
        <v>0.25839200000000001</v>
      </c>
      <c r="D10">
        <v>-0.25839200000000001</v>
      </c>
      <c r="E10">
        <f>B21-B10</f>
        <v>4.374999989522621E-3</v>
      </c>
      <c r="F10">
        <v>2526216.3998870002</v>
      </c>
      <c r="G10">
        <v>0.41089799999999999</v>
      </c>
      <c r="H10">
        <v>-0.41089799999999999</v>
      </c>
      <c r="I10">
        <v>-0.28588700015097857</v>
      </c>
      <c r="J10">
        <v>330.69616000000002</v>
      </c>
      <c r="K10">
        <v>2.6298590000000002</v>
      </c>
      <c r="L10">
        <f t="shared" si="0"/>
        <v>-2.6298590000000002</v>
      </c>
      <c r="M10">
        <f>J21-J10</f>
        <v>-0.69616000000002032</v>
      </c>
    </row>
    <row r="11" spans="1:13" x14ac:dyDescent="0.3">
      <c r="A11">
        <v>10</v>
      </c>
      <c r="B11">
        <v>184116.11509599999</v>
      </c>
      <c r="C11">
        <v>2.6991990000000001</v>
      </c>
      <c r="D11">
        <v>-2.6991990000000001</v>
      </c>
      <c r="E11">
        <f>B21-B11</f>
        <v>1.0903999995207414E-2</v>
      </c>
      <c r="F11">
        <v>2526219.4009179999</v>
      </c>
      <c r="G11">
        <v>4.5541650000000002</v>
      </c>
      <c r="H11">
        <v>-4.5541650000000002</v>
      </c>
      <c r="I11">
        <v>-3.2869179998524487</v>
      </c>
      <c r="J11">
        <v>330.65555799999998</v>
      </c>
      <c r="K11">
        <v>27.476334999999999</v>
      </c>
      <c r="L11">
        <f t="shared" si="0"/>
        <v>-27.476334999999999</v>
      </c>
      <c r="M11">
        <f>J21-J11</f>
        <v>-0.65555799999998499</v>
      </c>
    </row>
    <row r="12" spans="1:13" x14ac:dyDescent="0.3">
      <c r="A12">
        <v>11</v>
      </c>
      <c r="B12">
        <v>184116.13936</v>
      </c>
      <c r="C12">
        <v>5.8269999999999997E-3</v>
      </c>
      <c r="D12">
        <v>-5.8269999999999997E-3</v>
      </c>
      <c r="E12">
        <f>B21-B12</f>
        <v>-1.3360000011743978E-2</v>
      </c>
      <c r="F12">
        <v>2526216.1209180001</v>
      </c>
      <c r="G12">
        <v>5.8329999999999996E-3</v>
      </c>
      <c r="H12">
        <v>-5.8329999999999996E-3</v>
      </c>
      <c r="I12">
        <v>-6.9180000573396683E-3</v>
      </c>
      <c r="J12">
        <v>329.995475</v>
      </c>
      <c r="K12">
        <v>6.509E-3</v>
      </c>
      <c r="L12">
        <f t="shared" si="0"/>
        <v>-6.509E-3</v>
      </c>
      <c r="M12">
        <f>J21-J12</f>
        <v>4.5250000000010004E-3</v>
      </c>
    </row>
    <row r="13" spans="1:13" x14ac:dyDescent="0.3">
      <c r="A13">
        <v>12</v>
      </c>
      <c r="B13">
        <v>184116.14000099999</v>
      </c>
      <c r="C13">
        <v>6.7089999999999997E-3</v>
      </c>
      <c r="D13">
        <v>-6.7089999999999997E-3</v>
      </c>
      <c r="E13">
        <f>B21-B13</f>
        <v>-1.4001000003190711E-2</v>
      </c>
      <c r="F13">
        <v>2526216.1209180001</v>
      </c>
      <c r="G13">
        <v>6.7159999999999997E-3</v>
      </c>
      <c r="H13">
        <v>-6.7159999999999997E-3</v>
      </c>
      <c r="I13">
        <v>-6.9180000573396683E-3</v>
      </c>
      <c r="J13">
        <v>329.99557299999998</v>
      </c>
      <c r="K13">
        <v>7.4949999999999999E-3</v>
      </c>
      <c r="L13">
        <f t="shared" si="0"/>
        <v>-7.4949999999999999E-3</v>
      </c>
      <c r="M13">
        <f>J21-J13</f>
        <v>4.427000000021053E-3</v>
      </c>
    </row>
    <row r="14" spans="1:13" x14ac:dyDescent="0.3">
      <c r="A14">
        <v>13</v>
      </c>
      <c r="B14">
        <v>184116.14160199999</v>
      </c>
      <c r="C14">
        <v>9.8779999999999996E-3</v>
      </c>
      <c r="D14">
        <v>-9.8779999999999996E-3</v>
      </c>
      <c r="E14">
        <f>B21-B14</f>
        <v>-1.5601999999489635E-2</v>
      </c>
      <c r="F14">
        <v>2526216.1209180001</v>
      </c>
      <c r="G14">
        <v>9.8890000000000002E-3</v>
      </c>
      <c r="H14">
        <v>-9.8890000000000002E-3</v>
      </c>
      <c r="I14">
        <v>-6.9180000573396683E-3</v>
      </c>
      <c r="J14">
        <v>329.99581799999999</v>
      </c>
      <c r="K14">
        <v>9.8890000000000002E-3</v>
      </c>
      <c r="L14">
        <f t="shared" si="0"/>
        <v>-9.8890000000000002E-3</v>
      </c>
      <c r="M14">
        <f>J21-J14</f>
        <v>4.1820000000143409E-3</v>
      </c>
    </row>
    <row r="15" spans="1:13" x14ac:dyDescent="0.3">
      <c r="A15">
        <v>14</v>
      </c>
      <c r="B15">
        <v>184116.17042499999</v>
      </c>
      <c r="C15">
        <v>8.4448999999999996E-2</v>
      </c>
      <c r="D15">
        <v>-8.4448999999999996E-2</v>
      </c>
      <c r="E15">
        <f>B21-B15</f>
        <v>-4.4425000000046566E-2</v>
      </c>
      <c r="F15">
        <v>2526216.1209180001</v>
      </c>
      <c r="G15">
        <v>8.4542999999999993E-2</v>
      </c>
      <c r="H15">
        <v>-8.4542999999999993E-2</v>
      </c>
      <c r="I15">
        <v>-6.9180000573396683E-3</v>
      </c>
      <c r="J15">
        <v>330.000204</v>
      </c>
      <c r="K15">
        <v>9.4331999999999999E-2</v>
      </c>
      <c r="L15">
        <f t="shared" si="0"/>
        <v>-9.4331999999999999E-2</v>
      </c>
      <c r="M15">
        <f>J21-J15</f>
        <v>-2.0399999999654028E-4</v>
      </c>
    </row>
    <row r="16" spans="1:13" x14ac:dyDescent="0.3">
      <c r="A16">
        <v>15</v>
      </c>
      <c r="B16">
        <v>184116.138626</v>
      </c>
      <c r="C16">
        <v>5.7039999999999999E-3</v>
      </c>
      <c r="D16">
        <v>-5.7039999999999999E-3</v>
      </c>
      <c r="E16">
        <f>B21-B16</f>
        <v>-1.2626000010641292E-2</v>
      </c>
      <c r="F16">
        <v>2526216.1223860001</v>
      </c>
      <c r="G16">
        <v>5.7109999999999999E-3</v>
      </c>
      <c r="H16">
        <v>-5.7109999999999999E-3</v>
      </c>
      <c r="I16">
        <v>-8.3860000595450401E-3</v>
      </c>
      <c r="J16">
        <v>329.99561799999998</v>
      </c>
      <c r="K16">
        <v>6.3730000000000002E-3</v>
      </c>
      <c r="L16">
        <f t="shared" si="0"/>
        <v>-6.3730000000000002E-3</v>
      </c>
      <c r="M16">
        <f>J21-J16</f>
        <v>4.3820000000209802E-3</v>
      </c>
    </row>
    <row r="17" spans="1:13" x14ac:dyDescent="0.3">
      <c r="A17">
        <v>16</v>
      </c>
      <c r="B17">
        <v>184116.138622</v>
      </c>
      <c r="C17">
        <v>6.6140000000000001E-3</v>
      </c>
      <c r="D17">
        <v>-6.6140000000000001E-3</v>
      </c>
      <c r="E17">
        <f>B21-B17</f>
        <v>-1.2622000009287149E-2</v>
      </c>
      <c r="F17">
        <v>2526216.1230290001</v>
      </c>
      <c r="G17">
        <v>6.6210000000000001E-3</v>
      </c>
      <c r="H17">
        <v>-6.6210000000000001E-3</v>
      </c>
      <c r="I17">
        <v>-9.0290000662207603E-3</v>
      </c>
      <c r="J17">
        <v>329.99572899999998</v>
      </c>
      <c r="K17">
        <v>7.3889999999999997E-3</v>
      </c>
      <c r="L17">
        <f t="shared" si="0"/>
        <v>-7.3889999999999997E-3</v>
      </c>
      <c r="M17">
        <f>J21-J17</f>
        <v>4.2710000000170112E-3</v>
      </c>
    </row>
    <row r="18" spans="1:13" x14ac:dyDescent="0.3">
      <c r="A18">
        <v>17</v>
      </c>
      <c r="B18">
        <v>184116.13861200001</v>
      </c>
      <c r="C18">
        <v>9.8320000000000005E-3</v>
      </c>
      <c r="D18">
        <v>-9.8320000000000005E-3</v>
      </c>
      <c r="E18">
        <f>B21-B18</f>
        <v>-1.2612000020453706E-2</v>
      </c>
      <c r="F18">
        <v>2526216.1246369998</v>
      </c>
      <c r="G18">
        <v>9.8429999999999993E-3</v>
      </c>
      <c r="H18">
        <v>-9.8429999999999993E-3</v>
      </c>
      <c r="I18">
        <v>-1.0636999737471342E-2</v>
      </c>
      <c r="J18">
        <v>329.99600600000002</v>
      </c>
      <c r="K18">
        <v>1.0984000000000001E-2</v>
      </c>
      <c r="L18">
        <f t="shared" si="0"/>
        <v>-1.0984000000000001E-2</v>
      </c>
      <c r="M18">
        <f>J21-J18</f>
        <v>3.9939999999774045E-3</v>
      </c>
    </row>
    <row r="19" spans="1:13" x14ac:dyDescent="0.3">
      <c r="A19">
        <v>18</v>
      </c>
      <c r="B19">
        <v>184116.13844099999</v>
      </c>
      <c r="C19">
        <v>8.448E-2</v>
      </c>
      <c r="D19">
        <v>-8.448E-2</v>
      </c>
      <c r="E19">
        <f>B21-B19</f>
        <v>-1.244099999894388E-2</v>
      </c>
      <c r="F19">
        <v>2526216.1535680001</v>
      </c>
      <c r="G19">
        <v>8.4572999999999995E-2</v>
      </c>
      <c r="H19">
        <v>-8.4572999999999995E-2</v>
      </c>
      <c r="I19">
        <v>-3.9568000007420778E-2</v>
      </c>
      <c r="J19">
        <v>330.00098500000001</v>
      </c>
      <c r="K19">
        <v>9.4366000000000005E-2</v>
      </c>
      <c r="L19">
        <f t="shared" si="0"/>
        <v>-9.4366000000000005E-2</v>
      </c>
      <c r="M19">
        <f>J21-J19</f>
        <v>-9.850000000142245E-4</v>
      </c>
    </row>
    <row r="21" spans="1:13" x14ac:dyDescent="0.3">
      <c r="B21">
        <v>184116.12599999999</v>
      </c>
      <c r="F21">
        <v>2526216.1140000001</v>
      </c>
      <c r="J21">
        <v>330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1598-EAF7-44D2-832A-AFCC6A199A5D}">
  <dimension ref="A1:C19"/>
  <sheetViews>
    <sheetView workbookViewId="0">
      <selection activeCell="O23" sqref="O23"/>
    </sheetView>
  </sheetViews>
  <sheetFormatPr defaultRowHeight="16.2" x14ac:dyDescent="0.3"/>
  <sheetData>
    <row r="1" spans="1:3" x14ac:dyDescent="0.3">
      <c r="A1" t="s">
        <v>0</v>
      </c>
      <c r="B1" t="s">
        <v>13</v>
      </c>
      <c r="C1" t="s">
        <v>14</v>
      </c>
    </row>
    <row r="2" spans="1:3" x14ac:dyDescent="0.3">
      <c r="A2">
        <v>1</v>
      </c>
      <c r="B2">
        <v>0.56102545159200001</v>
      </c>
      <c r="C2">
        <f>B2*B2</f>
        <v>0.31474955733400756</v>
      </c>
    </row>
    <row r="3" spans="1:3" x14ac:dyDescent="0.3">
      <c r="A3">
        <v>2</v>
      </c>
      <c r="B3">
        <v>0.82814247607500002</v>
      </c>
      <c r="C3">
        <f t="shared" ref="C3:C19" si="0">B3*B3</f>
        <v>0.68581996067963202</v>
      </c>
    </row>
    <row r="4" spans="1:3" x14ac:dyDescent="0.3">
      <c r="A4">
        <v>3</v>
      </c>
      <c r="B4">
        <v>0.91104399999999996</v>
      </c>
      <c r="C4">
        <f t="shared" si="0"/>
        <v>0.83000116993599993</v>
      </c>
    </row>
    <row r="5" spans="1:3" x14ac:dyDescent="0.3">
      <c r="A5">
        <v>4</v>
      </c>
      <c r="B5">
        <v>1.3402480000000001</v>
      </c>
      <c r="C5">
        <f t="shared" si="0"/>
        <v>1.7962647015040003</v>
      </c>
    </row>
    <row r="6" spans="1:3" x14ac:dyDescent="0.3">
      <c r="A6">
        <v>5</v>
      </c>
      <c r="B6">
        <v>2.4798490000000002</v>
      </c>
      <c r="C6">
        <f t="shared" si="0"/>
        <v>6.1496510628010013</v>
      </c>
    </row>
    <row r="7" spans="1:3" x14ac:dyDescent="0.3">
      <c r="A7">
        <v>6</v>
      </c>
      <c r="B7">
        <v>23.616510999999999</v>
      </c>
      <c r="C7">
        <f t="shared" si="0"/>
        <v>557.73959181312091</v>
      </c>
    </row>
    <row r="8" spans="1:3" x14ac:dyDescent="0.3">
      <c r="A8">
        <v>7</v>
      </c>
      <c r="B8">
        <v>1.279649</v>
      </c>
      <c r="C8">
        <f t="shared" si="0"/>
        <v>1.6375015632010002</v>
      </c>
    </row>
    <row r="9" spans="1:3" x14ac:dyDescent="0.3">
      <c r="A9">
        <v>8</v>
      </c>
      <c r="B9">
        <v>2.1684190000000001</v>
      </c>
      <c r="C9">
        <f t="shared" si="0"/>
        <v>4.7020409595610007</v>
      </c>
    </row>
    <row r="10" spans="1:3" x14ac:dyDescent="0.3">
      <c r="A10">
        <v>9</v>
      </c>
      <c r="B10">
        <v>4.4871499999999997</v>
      </c>
      <c r="C10">
        <f t="shared" si="0"/>
        <v>20.134515122499998</v>
      </c>
    </row>
    <row r="11" spans="1:3" x14ac:dyDescent="0.3">
      <c r="A11">
        <v>10</v>
      </c>
      <c r="B11">
        <v>46.864632</v>
      </c>
      <c r="C11">
        <f t="shared" si="0"/>
        <v>2196.2937324954241</v>
      </c>
    </row>
    <row r="12" spans="1:3" x14ac:dyDescent="0.3">
      <c r="A12">
        <v>11</v>
      </c>
      <c r="B12">
        <v>1.0275810000000001</v>
      </c>
      <c r="C12">
        <f t="shared" si="0"/>
        <v>1.0559227115610001</v>
      </c>
    </row>
    <row r="13" spans="1:3" x14ac:dyDescent="0.3">
      <c r="A13">
        <v>12</v>
      </c>
      <c r="B13">
        <v>1.183171</v>
      </c>
      <c r="C13">
        <f t="shared" si="0"/>
        <v>1.399893615241</v>
      </c>
    </row>
    <row r="14" spans="1:3" x14ac:dyDescent="0.3">
      <c r="A14">
        <v>13</v>
      </c>
      <c r="B14">
        <v>1.742138</v>
      </c>
      <c r="C14">
        <f t="shared" si="0"/>
        <v>3.035044811044</v>
      </c>
    </row>
    <row r="15" spans="1:3" x14ac:dyDescent="0.3">
      <c r="A15">
        <v>14</v>
      </c>
      <c r="B15">
        <v>14.894461</v>
      </c>
      <c r="C15">
        <f t="shared" si="0"/>
        <v>221.844968480521</v>
      </c>
    </row>
    <row r="16" spans="1:3" x14ac:dyDescent="0.3">
      <c r="A16">
        <v>15</v>
      </c>
      <c r="B16">
        <v>1.0060100000000001</v>
      </c>
      <c r="C16">
        <f t="shared" si="0"/>
        <v>1.0120561201000002</v>
      </c>
    </row>
    <row r="17" spans="1:3" x14ac:dyDescent="0.3">
      <c r="A17">
        <v>16</v>
      </c>
      <c r="B17">
        <v>1.16639</v>
      </c>
      <c r="C17">
        <f t="shared" si="0"/>
        <v>1.3604656321000002</v>
      </c>
    </row>
    <row r="18" spans="1:3" x14ac:dyDescent="0.3">
      <c r="A18">
        <v>17</v>
      </c>
      <c r="B18">
        <v>1.7339869999999999</v>
      </c>
      <c r="C18">
        <f t="shared" si="0"/>
        <v>3.0067109161689998</v>
      </c>
    </row>
    <row r="19" spans="1:3" x14ac:dyDescent="0.3">
      <c r="A19">
        <v>18</v>
      </c>
      <c r="B19">
        <v>14.900111000000001</v>
      </c>
      <c r="C19">
        <f t="shared" si="0"/>
        <v>222.01330781232102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A2F9-223D-478C-A4F2-388CDB8959E0}">
  <dimension ref="A1:D19"/>
  <sheetViews>
    <sheetView workbookViewId="0">
      <selection activeCell="B22" sqref="B22"/>
    </sheetView>
  </sheetViews>
  <sheetFormatPr defaultRowHeight="16.2" x14ac:dyDescent="0.3"/>
  <cols>
    <col min="1" max="1" width="9" bestFit="1" customWidth="1"/>
    <col min="2" max="2" width="9.77734375" bestFit="1" customWidth="1"/>
    <col min="3" max="3" width="9" bestFit="1" customWidth="1"/>
    <col min="4" max="4" width="10.88671875" bestFit="1" customWidth="1"/>
  </cols>
  <sheetData>
    <row r="1" spans="1:4" x14ac:dyDescent="0.3">
      <c r="A1" t="s">
        <v>0</v>
      </c>
    </row>
    <row r="2" spans="1:4" x14ac:dyDescent="0.3">
      <c r="A2" s="4">
        <v>1</v>
      </c>
      <c r="B2" s="4"/>
      <c r="C2" s="4"/>
      <c r="D2" s="4"/>
    </row>
    <row r="3" spans="1:4" x14ac:dyDescent="0.3">
      <c r="A3" s="4">
        <v>2</v>
      </c>
      <c r="B3" s="4"/>
      <c r="C3" s="4"/>
      <c r="D3" s="4"/>
    </row>
    <row r="4" spans="1:4" x14ac:dyDescent="0.3">
      <c r="A4" s="5">
        <v>3</v>
      </c>
      <c r="B4" s="5">
        <v>-1.1172E-2</v>
      </c>
      <c r="C4" s="5">
        <v>0.06</v>
      </c>
      <c r="D4" s="5">
        <v>-0.1862</v>
      </c>
    </row>
    <row r="5" spans="1:4" x14ac:dyDescent="0.3">
      <c r="A5" s="5">
        <v>4</v>
      </c>
      <c r="B5" s="5">
        <v>-1.7815999999999999E-2</v>
      </c>
      <c r="C5" s="5">
        <v>0.1</v>
      </c>
      <c r="D5" s="5">
        <v>-0.17816000000000001</v>
      </c>
    </row>
    <row r="6" spans="1:4" x14ac:dyDescent="0.3">
      <c r="A6" s="5">
        <v>5</v>
      </c>
      <c r="B6" s="5">
        <v>-3.4424999999999997E-2</v>
      </c>
      <c r="C6" s="5">
        <v>0.2</v>
      </c>
      <c r="D6" s="5">
        <v>-0.172125</v>
      </c>
    </row>
    <row r="7" spans="1:4" x14ac:dyDescent="0.3">
      <c r="A7" s="5">
        <v>6</v>
      </c>
      <c r="B7" s="5">
        <v>-0.333264</v>
      </c>
      <c r="C7" s="5">
        <v>2</v>
      </c>
      <c r="D7" s="5">
        <v>-0.166632</v>
      </c>
    </row>
    <row r="8" spans="1:4" x14ac:dyDescent="0.3">
      <c r="A8" s="5">
        <v>7</v>
      </c>
      <c r="B8" s="5">
        <v>-3.2646000000000001E-2</v>
      </c>
      <c r="C8" s="5">
        <v>0.06</v>
      </c>
      <c r="D8" s="5">
        <v>-0.54410000000000003</v>
      </c>
    </row>
    <row r="9" spans="1:4" x14ac:dyDescent="0.3">
      <c r="A9" s="5">
        <v>8</v>
      </c>
      <c r="B9" s="5">
        <v>-5.9290000000000002E-2</v>
      </c>
      <c r="C9" s="5">
        <v>0.1</v>
      </c>
      <c r="D9" s="5">
        <v>-0.59289999999999998</v>
      </c>
    </row>
    <row r="10" spans="1:4" x14ac:dyDescent="0.3">
      <c r="A10" s="5">
        <v>9</v>
      </c>
      <c r="B10" s="5">
        <v>-0.12590000000000001</v>
      </c>
      <c r="C10" s="5">
        <v>0.2</v>
      </c>
      <c r="D10" s="5">
        <v>-0.62949999999999995</v>
      </c>
    </row>
    <row r="11" spans="1:4" x14ac:dyDescent="0.3">
      <c r="A11" s="5">
        <v>10</v>
      </c>
      <c r="B11" s="5">
        <v>-1.324873</v>
      </c>
      <c r="C11" s="5">
        <v>2</v>
      </c>
      <c r="D11" s="5">
        <v>-0.66243649999999998</v>
      </c>
    </row>
    <row r="12" spans="1:4" x14ac:dyDescent="0.3">
      <c r="A12" s="5">
        <v>11</v>
      </c>
      <c r="B12" s="5">
        <v>-5.7459000000000003E-2</v>
      </c>
      <c r="C12" s="5">
        <v>0.06</v>
      </c>
      <c r="D12" s="5">
        <v>-0.95765</v>
      </c>
    </row>
    <row r="13" spans="1:4" x14ac:dyDescent="0.3">
      <c r="A13" s="5">
        <v>12</v>
      </c>
      <c r="B13" s="5">
        <v>-9.7327999999999998E-2</v>
      </c>
      <c r="C13" s="5">
        <v>0.1</v>
      </c>
      <c r="D13" s="5">
        <v>-0.97328000000000003</v>
      </c>
    </row>
    <row r="14" spans="1:4" x14ac:dyDescent="0.3">
      <c r="A14" s="5">
        <v>13</v>
      </c>
      <c r="B14" s="5">
        <v>-0.19700000000000001</v>
      </c>
      <c r="C14" s="5">
        <v>0.2</v>
      </c>
      <c r="D14" s="5">
        <v>-0.98499999999999999</v>
      </c>
    </row>
    <row r="15" spans="1:4" x14ac:dyDescent="0.3">
      <c r="A15" s="5">
        <v>14</v>
      </c>
      <c r="B15" s="5">
        <v>-1.9911000000000001</v>
      </c>
      <c r="C15" s="5">
        <v>2</v>
      </c>
      <c r="D15" s="5">
        <v>-0.99555000000000005</v>
      </c>
    </row>
    <row r="16" spans="1:4" x14ac:dyDescent="0.3">
      <c r="A16" s="5">
        <v>15</v>
      </c>
      <c r="B16" s="5">
        <v>-5.8458000000000003E-2</v>
      </c>
      <c r="C16" s="5">
        <v>0.06</v>
      </c>
      <c r="D16" s="5">
        <v>-0.97430000000000005</v>
      </c>
    </row>
    <row r="17" spans="1:4" x14ac:dyDescent="0.3">
      <c r="A17" s="5">
        <v>16</v>
      </c>
      <c r="B17" s="5">
        <v>-9.8326999999999998E-2</v>
      </c>
      <c r="C17" s="5">
        <v>0.1</v>
      </c>
      <c r="D17" s="5">
        <v>-0.98326999999999998</v>
      </c>
    </row>
    <row r="18" spans="1:4" x14ac:dyDescent="0.3">
      <c r="A18" s="5">
        <v>17</v>
      </c>
      <c r="B18" s="5">
        <v>-0.19799700000000001</v>
      </c>
      <c r="C18" s="5">
        <v>0.2</v>
      </c>
      <c r="D18" s="5">
        <v>-0.989985</v>
      </c>
    </row>
    <row r="19" spans="1:4" x14ac:dyDescent="0.3">
      <c r="A19" s="5">
        <v>18</v>
      </c>
      <c r="B19" s="5">
        <v>-1.9920690000000001</v>
      </c>
      <c r="C19" s="5">
        <v>2</v>
      </c>
      <c r="D19" s="5">
        <v>-0.99603450000000004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E0E3-D6F7-41CF-B73A-C99A080AC810}">
  <dimension ref="A2:D63"/>
  <sheetViews>
    <sheetView topLeftCell="A53" workbookViewId="0">
      <selection activeCell="D60" sqref="D60:D63"/>
    </sheetView>
  </sheetViews>
  <sheetFormatPr defaultRowHeight="16.2" x14ac:dyDescent="0.3"/>
  <sheetData>
    <row r="2" spans="1:4" x14ac:dyDescent="0.3">
      <c r="A2" t="s">
        <v>15</v>
      </c>
      <c r="B2">
        <v>-6.7099999999999998E-3</v>
      </c>
      <c r="C2">
        <v>-1.3424E-2</v>
      </c>
      <c r="D2">
        <f>B2/C2</f>
        <v>0.49985101311084623</v>
      </c>
    </row>
    <row r="3" spans="1:4" x14ac:dyDescent="0.3">
      <c r="A3" t="s">
        <v>16</v>
      </c>
      <c r="B3">
        <v>1.3447000000000001E-2</v>
      </c>
      <c r="C3">
        <v>1.282E-2</v>
      </c>
      <c r="D3">
        <f t="shared" ref="D3:D7" si="0">B3/C3</f>
        <v>1.0489079563182528</v>
      </c>
    </row>
    <row r="4" spans="1:4" x14ac:dyDescent="0.3">
      <c r="A4" t="s">
        <v>17</v>
      </c>
      <c r="B4">
        <v>-6.7369999999999999E-3</v>
      </c>
      <c r="C4">
        <v>-1.2979999999999999E-3</v>
      </c>
      <c r="D4">
        <f t="shared" si="0"/>
        <v>5.1902927580893685</v>
      </c>
    </row>
    <row r="5" spans="1:4" x14ac:dyDescent="0.3">
      <c r="A5" t="s">
        <v>18</v>
      </c>
      <c r="B5">
        <v>5.522E-3</v>
      </c>
      <c r="C5">
        <v>-6.7500000000000004E-4</v>
      </c>
      <c r="D5">
        <f t="shared" si="0"/>
        <v>-8.18074074074074</v>
      </c>
    </row>
    <row r="6" spans="1:4" x14ac:dyDescent="0.3">
      <c r="A6" t="s">
        <v>19</v>
      </c>
      <c r="B6">
        <v>-8.2719999999999998E-3</v>
      </c>
      <c r="C6">
        <v>-1.4472E-2</v>
      </c>
      <c r="D6">
        <f t="shared" si="0"/>
        <v>0.5715865118850193</v>
      </c>
    </row>
    <row r="7" spans="1:4" x14ac:dyDescent="0.3">
      <c r="A7" t="s">
        <v>20</v>
      </c>
      <c r="B7">
        <v>2.748E-3</v>
      </c>
      <c r="C7">
        <v>-3.4550000000000002E-3</v>
      </c>
      <c r="D7">
        <f t="shared" si="0"/>
        <v>-0.79536903039073803</v>
      </c>
    </row>
    <row r="8" spans="1:4" x14ac:dyDescent="0.3">
      <c r="C8" t="s">
        <v>21</v>
      </c>
      <c r="D8">
        <f>MAX(D2:D7)</f>
        <v>5.1902927580893685</v>
      </c>
    </row>
    <row r="9" spans="1:4" x14ac:dyDescent="0.3">
      <c r="C9" t="s">
        <v>22</v>
      </c>
      <c r="D9">
        <f>MIN(D2:D7)</f>
        <v>-8.18074074074074</v>
      </c>
    </row>
    <row r="10" spans="1:4" x14ac:dyDescent="0.3">
      <c r="C10" t="s">
        <v>23</v>
      </c>
      <c r="D10">
        <f>AVERAGE(D2:D7)</f>
        <v>-0.27757858862133183</v>
      </c>
    </row>
    <row r="11" spans="1:4" x14ac:dyDescent="0.3">
      <c r="C11" t="s">
        <v>24</v>
      </c>
      <c r="D11">
        <f>SQRT(SUMSQ(D2:D7)/COUNTA(D2:D7))</f>
        <v>4.003603375983098</v>
      </c>
    </row>
    <row r="12" spans="1:4" x14ac:dyDescent="0.3">
      <c r="A12" t="s">
        <v>25</v>
      </c>
      <c r="B12">
        <v>1.0047E-2</v>
      </c>
      <c r="C12">
        <v>3.408E-3</v>
      </c>
    </row>
    <row r="13" spans="1:4" x14ac:dyDescent="0.3">
      <c r="A13" t="s">
        <v>26</v>
      </c>
      <c r="B13">
        <v>-2.5623E-2</v>
      </c>
      <c r="C13">
        <v>-3.6365000000000001E-2</v>
      </c>
    </row>
    <row r="14" spans="1:4" x14ac:dyDescent="0.3">
      <c r="A14" t="s">
        <v>27</v>
      </c>
      <c r="B14">
        <v>-5.4320000000000002E-3</v>
      </c>
      <c r="C14">
        <v>-2.027E-2</v>
      </c>
    </row>
    <row r="15" spans="1:4" x14ac:dyDescent="0.3">
      <c r="A15" t="s">
        <v>28</v>
      </c>
      <c r="B15">
        <v>1.0075000000000001E-2</v>
      </c>
      <c r="C15">
        <v>4.5430000000000002E-3</v>
      </c>
    </row>
    <row r="16" spans="1:4" x14ac:dyDescent="0.3">
      <c r="A16" t="s">
        <v>29</v>
      </c>
      <c r="B16">
        <v>1.3782000000000001E-2</v>
      </c>
      <c r="C16">
        <v>8.2550000000000002E-3</v>
      </c>
    </row>
    <row r="17" spans="1:3" x14ac:dyDescent="0.3">
      <c r="A17" t="s">
        <v>30</v>
      </c>
      <c r="B17">
        <v>-4.3350000000000003E-3</v>
      </c>
      <c r="C17">
        <v>-9.8569999999999994E-3</v>
      </c>
    </row>
    <row r="18" spans="1:3" x14ac:dyDescent="0.3">
      <c r="A18" t="s">
        <v>31</v>
      </c>
      <c r="B18">
        <v>7.646E-3</v>
      </c>
      <c r="C18">
        <v>3.408E-3</v>
      </c>
    </row>
    <row r="19" spans="1:3" x14ac:dyDescent="0.3">
      <c r="A19" t="s">
        <v>32</v>
      </c>
      <c r="B19">
        <v>-2.6693000000000001E-2</v>
      </c>
      <c r="C19">
        <v>-3.6365000000000001E-2</v>
      </c>
    </row>
    <row r="20" spans="1:3" x14ac:dyDescent="0.3">
      <c r="A20" t="s">
        <v>33</v>
      </c>
      <c r="B20">
        <v>-5.1019999999999998E-3</v>
      </c>
      <c r="C20">
        <v>-2.027E-2</v>
      </c>
    </row>
    <row r="21" spans="1:3" x14ac:dyDescent="0.3">
      <c r="A21" t="s">
        <v>34</v>
      </c>
      <c r="B21">
        <v>-1.1625E-2</v>
      </c>
      <c r="C21">
        <v>4.5430000000000002E-3</v>
      </c>
    </row>
    <row r="22" spans="1:3" x14ac:dyDescent="0.3">
      <c r="A22" t="s">
        <v>35</v>
      </c>
      <c r="B22">
        <v>-7.9799999999999992E-3</v>
      </c>
      <c r="C22">
        <v>8.2550000000000002E-3</v>
      </c>
    </row>
    <row r="23" spans="1:3" x14ac:dyDescent="0.3">
      <c r="A23" t="s">
        <v>36</v>
      </c>
      <c r="B23">
        <v>-2.6159999999999999E-2</v>
      </c>
      <c r="C23">
        <v>-9.8569999999999994E-3</v>
      </c>
    </row>
    <row r="24" spans="1:3" x14ac:dyDescent="0.3">
      <c r="A24" t="s">
        <v>15</v>
      </c>
      <c r="B24">
        <v>5.4130000000000003E-3</v>
      </c>
      <c r="C24">
        <v>3.408E-3</v>
      </c>
    </row>
    <row r="25" spans="1:3" x14ac:dyDescent="0.3">
      <c r="A25" t="s">
        <v>16</v>
      </c>
      <c r="B25">
        <v>-3.4199E-2</v>
      </c>
      <c r="C25">
        <v>-3.6365000000000001E-2</v>
      </c>
    </row>
    <row r="26" spans="1:3" x14ac:dyDescent="0.3">
      <c r="A26" t="s">
        <v>17</v>
      </c>
      <c r="B26">
        <v>-1.7943000000000001E-2</v>
      </c>
      <c r="C26">
        <v>-2.027E-2</v>
      </c>
    </row>
    <row r="27" spans="1:3" x14ac:dyDescent="0.3">
      <c r="A27" t="s">
        <v>18</v>
      </c>
      <c r="B27">
        <v>6.3200000000000001E-3</v>
      </c>
      <c r="C27">
        <v>4.5430000000000002E-3</v>
      </c>
    </row>
    <row r="28" spans="1:3" x14ac:dyDescent="0.3">
      <c r="A28" t="s">
        <v>19</v>
      </c>
      <c r="B28">
        <v>1.0031E-2</v>
      </c>
      <c r="C28">
        <v>8.2550000000000002E-3</v>
      </c>
    </row>
    <row r="29" spans="1:3" x14ac:dyDescent="0.3">
      <c r="A29" t="s">
        <v>20</v>
      </c>
      <c r="B29">
        <v>-8.0829999999999999E-3</v>
      </c>
      <c r="C29">
        <v>-9.8569999999999994E-3</v>
      </c>
    </row>
    <row r="30" spans="1:3" x14ac:dyDescent="0.3">
      <c r="A30" t="s">
        <v>37</v>
      </c>
      <c r="B30">
        <v>5.1229999999999999E-3</v>
      </c>
      <c r="C30">
        <v>3.408E-3</v>
      </c>
    </row>
    <row r="31" spans="1:3" x14ac:dyDescent="0.3">
      <c r="A31" t="s">
        <v>38</v>
      </c>
      <c r="B31">
        <v>-3.4433999999999999E-2</v>
      </c>
      <c r="C31">
        <v>-3.6365000000000001E-2</v>
      </c>
    </row>
    <row r="32" spans="1:3" x14ac:dyDescent="0.3">
      <c r="A32" t="s">
        <v>39</v>
      </c>
      <c r="B32">
        <v>-1.8121000000000002E-2</v>
      </c>
      <c r="C32">
        <v>-2.027E-2</v>
      </c>
    </row>
    <row r="33" spans="1:3" x14ac:dyDescent="0.3">
      <c r="A33" t="s">
        <v>40</v>
      </c>
      <c r="B33">
        <v>2.1619999999999999E-3</v>
      </c>
      <c r="C33">
        <v>4.5430000000000002E-3</v>
      </c>
    </row>
    <row r="34" spans="1:3" x14ac:dyDescent="0.3">
      <c r="A34" t="s">
        <v>41</v>
      </c>
      <c r="B34">
        <v>5.8719999999999996E-3</v>
      </c>
      <c r="C34">
        <v>8.2550000000000002E-3</v>
      </c>
    </row>
    <row r="35" spans="1:3" x14ac:dyDescent="0.3">
      <c r="A35" t="s">
        <v>42</v>
      </c>
      <c r="B35">
        <v>-1.2241999999999999E-2</v>
      </c>
      <c r="C35">
        <v>-9.8569999999999994E-3</v>
      </c>
    </row>
    <row r="36" spans="1:3" x14ac:dyDescent="0.3">
      <c r="A36" t="s">
        <v>43</v>
      </c>
      <c r="B36">
        <v>1.0163E-2</v>
      </c>
      <c r="C36">
        <v>3.408E-3</v>
      </c>
    </row>
    <row r="37" spans="1:3" x14ac:dyDescent="0.3">
      <c r="A37" t="s">
        <v>44</v>
      </c>
      <c r="B37">
        <v>-2.5482999999999999E-2</v>
      </c>
      <c r="C37">
        <v>-3.6365000000000001E-2</v>
      </c>
    </row>
    <row r="38" spans="1:3" x14ac:dyDescent="0.3">
      <c r="A38" t="s">
        <v>45</v>
      </c>
      <c r="B38">
        <v>-5.2709999999999996E-3</v>
      </c>
      <c r="C38">
        <v>-2.027E-2</v>
      </c>
    </row>
    <row r="39" spans="1:3" x14ac:dyDescent="0.3">
      <c r="A39" t="s">
        <v>46</v>
      </c>
      <c r="B39">
        <v>1.8398000000000001E-2</v>
      </c>
      <c r="C39">
        <v>4.5430000000000002E-3</v>
      </c>
    </row>
    <row r="40" spans="1:3" x14ac:dyDescent="0.3">
      <c r="A40" t="s">
        <v>47</v>
      </c>
      <c r="B40">
        <v>2.2085E-2</v>
      </c>
      <c r="C40">
        <v>8.2550000000000002E-3</v>
      </c>
    </row>
    <row r="41" spans="1:3" x14ac:dyDescent="0.3">
      <c r="A41" t="s">
        <v>48</v>
      </c>
      <c r="B41">
        <v>3.9480000000000001E-3</v>
      </c>
      <c r="C41">
        <v>-9.8569999999999994E-3</v>
      </c>
    </row>
    <row r="42" spans="1:3" x14ac:dyDescent="0.3">
      <c r="A42" t="s">
        <v>49</v>
      </c>
      <c r="B42">
        <v>7.6290000000000004E-3</v>
      </c>
      <c r="C42">
        <v>3.408E-3</v>
      </c>
    </row>
    <row r="43" spans="1:3" x14ac:dyDescent="0.3">
      <c r="A43" t="s">
        <v>50</v>
      </c>
      <c r="B43">
        <v>-2.6634000000000001E-2</v>
      </c>
      <c r="C43">
        <v>-3.6365000000000001E-2</v>
      </c>
    </row>
    <row r="44" spans="1:3" x14ac:dyDescent="0.3">
      <c r="A44" t="s">
        <v>51</v>
      </c>
      <c r="B44">
        <v>-4.908E-3</v>
      </c>
      <c r="C44">
        <v>-2.027E-2</v>
      </c>
    </row>
    <row r="45" spans="1:3" x14ac:dyDescent="0.3">
      <c r="A45" t="s">
        <v>52</v>
      </c>
      <c r="B45">
        <v>-7.7899999999999996E-4</v>
      </c>
      <c r="C45">
        <v>4.5430000000000002E-3</v>
      </c>
    </row>
    <row r="46" spans="1:3" x14ac:dyDescent="0.3">
      <c r="A46" t="s">
        <v>53</v>
      </c>
      <c r="B46">
        <v>2.931E-3</v>
      </c>
      <c r="C46">
        <v>8.2550000000000002E-3</v>
      </c>
    </row>
    <row r="47" spans="1:3" x14ac:dyDescent="0.3">
      <c r="A47" t="s">
        <v>54</v>
      </c>
      <c r="B47">
        <v>-1.5181999999999999E-2</v>
      </c>
      <c r="C47">
        <v>-9.8569999999999994E-3</v>
      </c>
    </row>
    <row r="48" spans="1:3" x14ac:dyDescent="0.3">
      <c r="A48" t="s">
        <v>55</v>
      </c>
      <c r="B48">
        <v>5.4099999999999999E-3</v>
      </c>
      <c r="C48">
        <v>3.408E-3</v>
      </c>
    </row>
    <row r="49" spans="1:4" x14ac:dyDescent="0.3">
      <c r="A49" t="s">
        <v>56</v>
      </c>
      <c r="B49">
        <v>-3.4200000000000001E-2</v>
      </c>
      <c r="C49">
        <v>-3.6365000000000001E-2</v>
      </c>
    </row>
    <row r="50" spans="1:4" x14ac:dyDescent="0.3">
      <c r="A50" t="s">
        <v>57</v>
      </c>
      <c r="B50">
        <v>-1.7940999999999999E-2</v>
      </c>
      <c r="C50">
        <v>-2.027E-2</v>
      </c>
    </row>
    <row r="51" spans="1:4" x14ac:dyDescent="0.3">
      <c r="A51" t="s">
        <v>58</v>
      </c>
      <c r="B51">
        <v>6.6490000000000004E-3</v>
      </c>
      <c r="C51">
        <v>4.5430000000000002E-3</v>
      </c>
    </row>
    <row r="52" spans="1:4" x14ac:dyDescent="0.3">
      <c r="A52" t="s">
        <v>59</v>
      </c>
      <c r="B52">
        <v>1.0359999999999999E-2</v>
      </c>
      <c r="C52">
        <v>8.2550000000000002E-3</v>
      </c>
    </row>
    <row r="53" spans="1:4" x14ac:dyDescent="0.3">
      <c r="A53" t="s">
        <v>60</v>
      </c>
      <c r="B53">
        <v>-7.7520000000000002E-3</v>
      </c>
      <c r="C53">
        <v>-9.8569999999999994E-3</v>
      </c>
    </row>
    <row r="54" spans="1:4" x14ac:dyDescent="0.3">
      <c r="A54" t="s">
        <v>61</v>
      </c>
      <c r="B54">
        <v>5.1269999999999996E-3</v>
      </c>
      <c r="C54">
        <v>3.408E-3</v>
      </c>
    </row>
    <row r="55" spans="1:4" x14ac:dyDescent="0.3">
      <c r="A55" t="s">
        <v>62</v>
      </c>
      <c r="B55">
        <v>-3.4425999999999998E-2</v>
      </c>
      <c r="C55">
        <v>-3.6365000000000001E-2</v>
      </c>
    </row>
    <row r="56" spans="1:4" x14ac:dyDescent="0.3">
      <c r="A56" t="s">
        <v>63</v>
      </c>
      <c r="B56">
        <v>-1.8109E-2</v>
      </c>
      <c r="C56">
        <v>-2.027E-2</v>
      </c>
    </row>
    <row r="57" spans="1:4" x14ac:dyDescent="0.3">
      <c r="A57" t="s">
        <v>64</v>
      </c>
      <c r="B57">
        <v>2.594E-3</v>
      </c>
      <c r="C57">
        <v>4.5430000000000002E-3</v>
      </c>
    </row>
    <row r="58" spans="1:4" x14ac:dyDescent="0.3">
      <c r="A58" t="s">
        <v>65</v>
      </c>
      <c r="B58">
        <v>6.3039999999999997E-3</v>
      </c>
      <c r="C58">
        <v>8.2550000000000002E-3</v>
      </c>
    </row>
    <row r="59" spans="1:4" x14ac:dyDescent="0.3">
      <c r="A59" t="s">
        <v>66</v>
      </c>
      <c r="B59">
        <v>-1.1809999999999999E-2</v>
      </c>
      <c r="C59">
        <v>-9.8569999999999994E-3</v>
      </c>
    </row>
    <row r="60" spans="1:4" x14ac:dyDescent="0.3">
      <c r="C60" t="s">
        <v>21</v>
      </c>
      <c r="D60">
        <f>MAX(C12:C59)</f>
        <v>8.2550000000000002E-3</v>
      </c>
    </row>
    <row r="61" spans="1:4" x14ac:dyDescent="0.3">
      <c r="C61" t="s">
        <v>22</v>
      </c>
      <c r="D61">
        <f>MIN(C12:C59)</f>
        <v>-3.6365000000000001E-2</v>
      </c>
    </row>
    <row r="62" spans="1:4" x14ac:dyDescent="0.3">
      <c r="C62" t="s">
        <v>23</v>
      </c>
      <c r="D62">
        <f>AVERAGE(C12:C59)</f>
        <v>-8.3809999999999978E-3</v>
      </c>
    </row>
    <row r="63" spans="1:4" x14ac:dyDescent="0.3">
      <c r="C63" t="s">
        <v>24</v>
      </c>
      <c r="D63">
        <f>SQRT(SUMSQ(C12:C59)/COUNTA(C12:C59))</f>
        <v>1.7938993431442396E-2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工作表1</vt:lpstr>
      <vt:lpstr>工作表2</vt:lpstr>
      <vt:lpstr>工作表3</vt:lpstr>
      <vt:lpstr>工作表4</vt:lpstr>
      <vt:lpstr>工作表5</vt:lpstr>
      <vt:lpstr>工作表6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蔡意嫺 TSAI YI- HSIEN</dc:creator>
  <cp:lastModifiedBy>蔡意嫺 TSAI YI- HSIEN</cp:lastModifiedBy>
  <dcterms:created xsi:type="dcterms:W3CDTF">2024-12-09T07:34:16Z</dcterms:created>
  <dcterms:modified xsi:type="dcterms:W3CDTF">2024-12-13T16:50:09Z</dcterms:modified>
</cp:coreProperties>
</file>