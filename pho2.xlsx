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桌面\"/>
    </mc:Choice>
  </mc:AlternateContent>
  <xr:revisionPtr revIDLastSave="0" documentId="13_ncr:1_{0F4755C5-967F-4809-B569-6AAB0FC6031B}" xr6:coauthVersionLast="47" xr6:coauthVersionMax="47" xr10:uidLastSave="{00000000-0000-0000-0000-000000000000}"/>
  <bookViews>
    <workbookView xWindow="-108" yWindow="-108" windowWidth="23256" windowHeight="12456" firstSheet="3" activeTab="7" xr2:uid="{3115049B-C1CF-464E-998E-9C034AF744D2}"/>
  </bookViews>
  <sheets>
    <sheet name="工作表1" sheetId="1" r:id="rId1"/>
    <sheet name="工作表2" sheetId="2" r:id="rId2"/>
    <sheet name="工作表3" sheetId="3" r:id="rId3"/>
    <sheet name="工作表4" sheetId="4" r:id="rId4"/>
    <sheet name="工作表5" sheetId="5" r:id="rId5"/>
    <sheet name="工作表6" sheetId="6" r:id="rId6"/>
    <sheet name="工作表7" sheetId="7" r:id="rId7"/>
    <sheet name="工作表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8" l="1"/>
  <c r="C10" i="8"/>
  <c r="C9" i="8"/>
  <c r="C5" i="8"/>
  <c r="C4" i="8"/>
  <c r="C3" i="8"/>
  <c r="C2" i="7"/>
  <c r="G5" i="4"/>
  <c r="G4" i="4"/>
  <c r="G3" i="4"/>
  <c r="E5" i="4"/>
  <c r="E4" i="4"/>
  <c r="E3" i="4"/>
  <c r="C5" i="4"/>
  <c r="C4" i="4"/>
  <c r="C3" i="4"/>
  <c r="C2" i="3"/>
  <c r="C1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3" i="3"/>
</calcChain>
</file>

<file path=xl/sharedStrings.xml><?xml version="1.0" encoding="utf-8"?>
<sst xmlns="http://schemas.openxmlformats.org/spreadsheetml/2006/main" count="179" uniqueCount="68">
  <si>
    <t>xp</t>
  </si>
  <si>
    <t>yp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</si>
  <si>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</si>
  <si>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</si>
  <si>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</si>
  <si>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</si>
  <si>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</si>
  <si>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</si>
  <si>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</si>
  <si>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</si>
  <si>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</si>
  <si>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</si>
  <si>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</si>
  <si>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</si>
  <si>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E1</t>
  </si>
  <si>
    <t>E2</t>
  </si>
  <si>
    <t>E3</t>
  </si>
  <si>
    <t>F1</t>
  </si>
  <si>
    <t>F2</t>
  </si>
  <si>
    <t>F3</t>
  </si>
  <si>
    <t>G1</t>
  </si>
  <si>
    <t>G2</t>
  </si>
  <si>
    <t>G3</t>
  </si>
  <si>
    <t>H1</t>
  </si>
  <si>
    <t>H2</t>
  </si>
  <si>
    <t>H3</t>
  </si>
  <si>
    <t>序號</t>
  </si>
  <si>
    <t>亂數(µm)</t>
  </si>
  <si>
    <r>
      <t>表3.N(0,</t>
    </r>
    <r>
      <rPr>
        <sz val="12"/>
        <color theme="1"/>
        <rFont val="Calibri"/>
        <family val="2"/>
        <charset val="161"/>
      </rPr>
      <t>σ</t>
    </r>
    <r>
      <rPr>
        <sz val="12"/>
        <color theme="1"/>
        <rFont val="新細明體"/>
        <family val="2"/>
        <charset val="136"/>
        <scheme val="minor"/>
      </rPr>
      <t>)的隨機亂數分佈表</t>
    </r>
    <phoneticPr fontId="1" type="noConversion"/>
  </si>
  <si>
    <t>真值</t>
    <phoneticPr fontId="1" type="noConversion"/>
  </si>
  <si>
    <t>XP</t>
    <phoneticPr fontId="1" type="noConversion"/>
  </si>
  <si>
    <r>
      <rPr>
        <sz val="12"/>
        <color theme="1"/>
        <rFont val="Calibri"/>
        <family val="2"/>
        <charset val="161"/>
      </rPr>
      <t>ε</t>
    </r>
    <r>
      <rPr>
        <sz val="12"/>
        <color theme="1"/>
        <rFont val="新細明體"/>
        <family val="2"/>
        <charset val="136"/>
        <scheme val="minor"/>
      </rPr>
      <t>XP</t>
    </r>
    <phoneticPr fontId="1" type="noConversion"/>
  </si>
  <si>
    <t>YP</t>
    <phoneticPr fontId="1" type="noConversion"/>
  </si>
  <si>
    <r>
      <rPr>
        <sz val="12"/>
        <color theme="1"/>
        <rFont val="Calibri"/>
        <family val="2"/>
        <charset val="161"/>
      </rPr>
      <t>ε</t>
    </r>
    <r>
      <rPr>
        <sz val="12"/>
        <color theme="1"/>
        <rFont val="Calibri"/>
        <family val="2"/>
      </rPr>
      <t>Y</t>
    </r>
    <r>
      <rPr>
        <sz val="12"/>
        <color theme="1"/>
        <rFont val="新細明體"/>
        <family val="2"/>
        <charset val="136"/>
        <scheme val="minor"/>
      </rPr>
      <t>P</t>
    </r>
    <phoneticPr fontId="1" type="noConversion"/>
  </si>
  <si>
    <t>ZP</t>
    <phoneticPr fontId="1" type="noConversion"/>
  </si>
  <si>
    <r>
      <rPr>
        <sz val="12"/>
        <color theme="1"/>
        <rFont val="Calibri"/>
        <family val="2"/>
        <charset val="161"/>
      </rPr>
      <t>ε</t>
    </r>
    <r>
      <rPr>
        <sz val="12"/>
        <color theme="1"/>
        <rFont val="Calibri"/>
        <family val="2"/>
      </rPr>
      <t>Z</t>
    </r>
    <r>
      <rPr>
        <sz val="12"/>
        <color theme="1"/>
        <rFont val="新細明體"/>
        <family val="2"/>
        <charset val="136"/>
        <scheme val="minor"/>
      </rPr>
      <t>P</t>
    </r>
    <phoneticPr fontId="1" type="noConversion"/>
  </si>
  <si>
    <r>
      <rPr>
        <sz val="12"/>
        <color theme="1"/>
        <rFont val="Calibri"/>
        <family val="2"/>
        <charset val="161"/>
      </rPr>
      <t>ε</t>
    </r>
    <r>
      <rPr>
        <sz val="12"/>
        <color theme="1"/>
        <rFont val="Calibri"/>
        <family val="2"/>
      </rPr>
      <t>=0.002</t>
    </r>
    <phoneticPr fontId="1" type="noConversion"/>
  </si>
  <si>
    <r>
      <rPr>
        <sz val="12"/>
        <color theme="1"/>
        <rFont val="Calibri"/>
        <family val="2"/>
        <charset val="161"/>
      </rPr>
      <t>ε</t>
    </r>
    <r>
      <rPr>
        <sz val="12"/>
        <color theme="1"/>
        <rFont val="Calibri"/>
        <family val="2"/>
      </rPr>
      <t>=0.0002</t>
    </r>
    <phoneticPr fontId="1" type="noConversion"/>
  </si>
  <si>
    <r>
      <rPr>
        <sz val="12"/>
        <color theme="1"/>
        <rFont val="Calibri"/>
        <family val="2"/>
        <charset val="161"/>
      </rPr>
      <t>ε</t>
    </r>
    <r>
      <rPr>
        <sz val="12"/>
        <color theme="1"/>
        <rFont val="Calibri"/>
        <family val="2"/>
      </rPr>
      <t>=0.00002</t>
    </r>
    <phoneticPr fontId="1" type="noConversion"/>
  </si>
  <si>
    <r>
      <rPr>
        <sz val="12"/>
        <color theme="1"/>
        <rFont val="Cambria Math"/>
        <family val="2"/>
      </rPr>
      <t>𝝈</t>
    </r>
    <r>
      <rPr>
        <sz val="12"/>
        <color theme="1"/>
        <rFont val="新細明體"/>
        <family val="2"/>
        <charset val="136"/>
        <scheme val="minor"/>
      </rPr>
      <t>XP</t>
    </r>
    <phoneticPr fontId="1" type="noConversion"/>
  </si>
  <si>
    <r>
      <rPr>
        <sz val="12"/>
        <color theme="1"/>
        <rFont val="Cambria Math"/>
        <family val="2"/>
      </rPr>
      <t>𝝈</t>
    </r>
    <r>
      <rPr>
        <sz val="12"/>
        <color theme="1"/>
        <rFont val="Calibri"/>
        <family val="2"/>
      </rPr>
      <t>Y</t>
    </r>
    <r>
      <rPr>
        <sz val="12"/>
        <color theme="1"/>
        <rFont val="新細明體"/>
        <family val="2"/>
        <charset val="136"/>
        <scheme val="minor"/>
      </rPr>
      <t>P</t>
    </r>
    <phoneticPr fontId="1" type="noConversion"/>
  </si>
  <si>
    <r>
      <rPr>
        <sz val="12"/>
        <color theme="1"/>
        <rFont val="Cambria Math"/>
        <family val="2"/>
      </rPr>
      <t>𝝈</t>
    </r>
    <r>
      <rPr>
        <sz val="12"/>
        <color theme="1"/>
        <rFont val="Calibri"/>
        <family val="2"/>
      </rPr>
      <t>Z</t>
    </r>
    <r>
      <rPr>
        <sz val="12"/>
        <color theme="1"/>
        <rFont val="新細明體"/>
        <family val="2"/>
        <charset val="136"/>
        <scheme val="minor"/>
      </rPr>
      <t>P</t>
    </r>
    <phoneticPr fontId="1" type="noConversion"/>
  </si>
  <si>
    <t>點號</t>
  </si>
  <si>
    <t>像座標x(mm)</t>
  </si>
  <si>
    <t>像座標y(mm)</t>
  </si>
  <si>
    <t>改正數vy(mm)</t>
  </si>
  <si>
    <t>真誤差εy(mm)</t>
  </si>
  <si>
    <t>====</t>
  </si>
  <si>
    <t>===========</t>
  </si>
  <si>
    <t>============</t>
  </si>
  <si>
    <t>==========</t>
  </si>
  <si>
    <t>改正數vx(m</t>
  </si>
  <si>
    <t>m)</t>
  </si>
  <si>
    <t>===</t>
  </si>
  <si>
    <t>=</t>
  </si>
  <si>
    <t>T</t>
  </si>
  <si>
    <t>vx(mm)</t>
    <phoneticPr fontId="1" type="noConversion"/>
  </si>
  <si>
    <r>
      <t>真誤差</t>
    </r>
    <r>
      <rPr>
        <sz val="12"/>
        <color theme="1"/>
        <rFont val="Calibri"/>
        <family val="2"/>
        <charset val="161"/>
      </rPr>
      <t>ε</t>
    </r>
    <r>
      <rPr>
        <sz val="12"/>
        <color theme="1"/>
        <rFont val="新細明體"/>
        <family val="2"/>
        <charset val="136"/>
        <scheme val="minor"/>
      </rPr>
      <t>x(mm)</t>
    </r>
    <phoneticPr fontId="1" type="noConversion"/>
  </si>
  <si>
    <r>
      <rPr>
        <sz val="12"/>
        <color theme="1"/>
        <rFont val="Calibri"/>
        <family val="2"/>
        <charset val="161"/>
      </rPr>
      <t>ε</t>
    </r>
    <r>
      <rPr>
        <sz val="12"/>
        <color theme="1"/>
        <rFont val="新細明體"/>
        <family val="2"/>
        <charset val="136"/>
        <scheme val="minor"/>
      </rPr>
      <t>x(mm)</t>
    </r>
    <phoneticPr fontId="1" type="noConversion"/>
  </si>
  <si>
    <t>W</t>
    <phoneticPr fontId="1" type="noConversion"/>
  </si>
  <si>
    <t>C1</t>
    <phoneticPr fontId="1" type="noConversion"/>
  </si>
  <si>
    <t>C2</t>
    <phoneticPr fontId="1" type="noConversion"/>
  </si>
  <si>
    <t>C3</t>
    <phoneticPr fontId="1" type="noConversion"/>
  </si>
  <si>
    <t>Wx</t>
    <phoneticPr fontId="1" type="noConversion"/>
  </si>
  <si>
    <t>εx(mm)</t>
  </si>
  <si>
    <t>Wy</t>
    <phoneticPr fontId="1" type="noConversion"/>
  </si>
  <si>
    <r>
      <rPr>
        <sz val="12"/>
        <color theme="1"/>
        <rFont val="Calibri"/>
        <family val="2"/>
        <charset val="161"/>
      </rPr>
      <t>εy</t>
    </r>
    <r>
      <rPr>
        <sz val="12"/>
        <color theme="1"/>
        <rFont val="新細明體"/>
        <family val="2"/>
        <charset val="136"/>
        <scheme val="minor"/>
      </rPr>
      <t>(mm)</t>
    </r>
    <phoneticPr fontId="1" type="noConversion"/>
  </si>
  <si>
    <t>vy(mm)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</si>
</sst>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0"/>
    <numFmt numFmtId="181" formatCode="0.000000"/>
  </numFmts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  <charset val="161"/>
    </font>
    <font>
      <sz val="12"/>
      <color theme="1"/>
      <name val="新細明體"/>
      <family val="2"/>
      <charset val="161"/>
      <scheme val="minor"/>
    </font>
    <font>
      <sz val="12"/>
      <color theme="1"/>
      <name val="標楷體"/>
      <family val="4"/>
      <charset val="136"/>
    </font>
    <font>
      <sz val="12"/>
      <color theme="1"/>
      <name val="Microsoft JhengHei"/>
      <family val="2"/>
    </font>
    <font>
      <sz val="12"/>
      <color theme="1"/>
      <name val="Calibri"/>
      <family val="2"/>
    </font>
    <font>
      <sz val="12"/>
      <color theme="1"/>
      <name val="Cambria Math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>
                <a:effectLst/>
              </a:rPr>
              <a:t>vi/</a:t>
            </a:r>
            <a:r>
              <a:rPr lang="zh-TW" altLang="zh-TW" sz="1400" b="0" i="0" u="none" strike="noStrike" baseline="0">
                <a:effectLst/>
              </a:rPr>
              <a:t>ε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工作表3!$A$3:$A$18</c:f>
              <c:numCache>
                <c:formatCode>General</c:formatCode>
                <c:ptCount val="1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</c:numCache>
            </c:numRef>
          </c:xVal>
          <c:yVal>
            <c:numRef>
              <c:f>工作表3!$C$3:$C$18</c:f>
              <c:numCache>
                <c:formatCode>General</c:formatCode>
                <c:ptCount val="16"/>
                <c:pt idx="0">
                  <c:v>0.1862</c:v>
                </c:pt>
                <c:pt idx="1">
                  <c:v>0.17816000000000001</c:v>
                </c:pt>
                <c:pt idx="2">
                  <c:v>0.172125</c:v>
                </c:pt>
                <c:pt idx="3">
                  <c:v>0.166632</c:v>
                </c:pt>
                <c:pt idx="4">
                  <c:v>0.54410000000000003</c:v>
                </c:pt>
                <c:pt idx="5">
                  <c:v>0.59289999999999998</c:v>
                </c:pt>
                <c:pt idx="6">
                  <c:v>0.62949999999999995</c:v>
                </c:pt>
                <c:pt idx="7">
                  <c:v>0.66243649999999998</c:v>
                </c:pt>
                <c:pt idx="8">
                  <c:v>0.95765</c:v>
                </c:pt>
                <c:pt idx="9">
                  <c:v>0.97328000000000003</c:v>
                </c:pt>
                <c:pt idx="10">
                  <c:v>0.98499999999999999</c:v>
                </c:pt>
                <c:pt idx="11">
                  <c:v>0.99555000000000005</c:v>
                </c:pt>
                <c:pt idx="12">
                  <c:v>0.97430000000000005</c:v>
                </c:pt>
                <c:pt idx="13">
                  <c:v>0.98326999999999998</c:v>
                </c:pt>
                <c:pt idx="14">
                  <c:v>0.989985</c:v>
                </c:pt>
                <c:pt idx="15">
                  <c:v>0.99603450000000004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D-425D-BFCD-A1B4AAB3F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128528"/>
        <c:axId val="725119408"/>
      </c:scatterChart>
      <c:valAx>
        <c:axId val="725128528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5119408"/>
        <c:crosses val="autoZero"/>
        <c:crossBetween val="midCat"/>
        <c:majorUnit val="1"/>
        <c:minorUnit val="0.5"/>
      </c:valAx>
      <c:valAx>
        <c:axId val="7251194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5128528"/>
        <c:crosses val="autoZero"/>
        <c:crossBetween val="midCat"/>
        <c:majorUnit val="0.2"/>
        <c:min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案例</a:t>
            </a:r>
            <a:r>
              <a:rPr lang="en-US" altLang="zh-TW"/>
              <a:t>1~18</a:t>
            </a:r>
            <a:r>
              <a:rPr lang="zh-TW" altLang="en-US"/>
              <a:t>的改正數和真誤差比值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工作表3!$A$1:$A$18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工作表3!$C$1:$C$18</c:f>
              <c:numCache>
                <c:formatCode>General</c:formatCode>
                <c:ptCount val="18"/>
                <c:pt idx="0">
                  <c:v>0.49985101311084623</c:v>
                </c:pt>
                <c:pt idx="1">
                  <c:v>0.85648734177215191</c:v>
                </c:pt>
                <c:pt idx="2">
                  <c:v>0.1862</c:v>
                </c:pt>
                <c:pt idx="3">
                  <c:v>0.17816000000000001</c:v>
                </c:pt>
                <c:pt idx="4">
                  <c:v>0.172125</c:v>
                </c:pt>
                <c:pt idx="5">
                  <c:v>0.166632</c:v>
                </c:pt>
                <c:pt idx="6">
                  <c:v>0.54410000000000003</c:v>
                </c:pt>
                <c:pt idx="7">
                  <c:v>0.59289999999999998</c:v>
                </c:pt>
                <c:pt idx="8">
                  <c:v>0.62949999999999995</c:v>
                </c:pt>
                <c:pt idx="9">
                  <c:v>0.66243649999999998</c:v>
                </c:pt>
                <c:pt idx="10">
                  <c:v>0.95765</c:v>
                </c:pt>
                <c:pt idx="11">
                  <c:v>0.97328000000000003</c:v>
                </c:pt>
                <c:pt idx="12">
                  <c:v>0.98499999999999999</c:v>
                </c:pt>
                <c:pt idx="13">
                  <c:v>0.99555000000000005</c:v>
                </c:pt>
                <c:pt idx="14">
                  <c:v>0.97430000000000005</c:v>
                </c:pt>
                <c:pt idx="15">
                  <c:v>0.98326999999999998</c:v>
                </c:pt>
                <c:pt idx="16">
                  <c:v>0.989985</c:v>
                </c:pt>
                <c:pt idx="17">
                  <c:v>0.99603450000000004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89-45E7-935B-86E2BA6FC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589248"/>
        <c:axId val="324583488"/>
      </c:scatterChart>
      <c:valAx>
        <c:axId val="324589248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24583488"/>
        <c:crosses val="autoZero"/>
        <c:crossBetween val="midCat"/>
      </c:valAx>
      <c:valAx>
        <c:axId val="3245834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24589248"/>
        <c:crosses val="autoZero"/>
        <c:crossBetween val="midCat"/>
        <c:majorUnit val="0.2"/>
        <c:min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C1~C3</a:t>
            </a:r>
            <a:r>
              <a:rPr lang="zh-TW" altLang="en-US"/>
              <a:t>之</a:t>
            </a:r>
            <a:r>
              <a:rPr lang="en-US" altLang="zh-TW"/>
              <a:t>x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工作表8!$B$2</c:f>
              <c:strCache>
                <c:ptCount val="1"/>
                <c:pt idx="0">
                  <c:v>vx(mm)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工作表8!$A$3:$A$5</c:f>
              <c:strCache>
                <c:ptCount val="3"/>
                <c:pt idx="0">
                  <c:v>C1</c:v>
                </c:pt>
                <c:pt idx="1">
                  <c:v>C2</c:v>
                </c:pt>
                <c:pt idx="2">
                  <c:v>C3</c:v>
                </c:pt>
              </c:strCache>
            </c:strRef>
          </c:xVal>
          <c:yVal>
            <c:numRef>
              <c:f>工作表8!$B$3:$B$5</c:f>
              <c:numCache>
                <c:formatCode>0.000000</c:formatCode>
                <c:ptCount val="3"/>
                <c:pt idx="0">
                  <c:v>2.5309999999999998E-3</c:v>
                </c:pt>
                <c:pt idx="1">
                  <c:v>-5.097E-3</c:v>
                </c:pt>
                <c:pt idx="2">
                  <c:v>2.5660000000000001E-3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89-404F-937A-D1E4AFA3C57E}"/>
            </c:ext>
          </c:extLst>
        </c:ser>
        <c:ser>
          <c:idx val="1"/>
          <c:order val="1"/>
          <c:tx>
            <c:strRef>
              <c:f>工作表8!$C$2</c:f>
              <c:strCache>
                <c:ptCount val="1"/>
                <c:pt idx="0">
                  <c:v>Wx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工作表8!$A$3:$A$5</c:f>
              <c:strCache>
                <c:ptCount val="3"/>
                <c:pt idx="0">
                  <c:v>C1</c:v>
                </c:pt>
                <c:pt idx="1">
                  <c:v>C2</c:v>
                </c:pt>
                <c:pt idx="2">
                  <c:v>C3</c:v>
                </c:pt>
              </c:strCache>
            </c:strRef>
          </c:xVal>
          <c:yVal>
            <c:numRef>
              <c:f>工作表8!$C$3:$C$5</c:f>
              <c:numCache>
                <c:formatCode>0.000000</c:formatCode>
                <c:ptCount val="3"/>
                <c:pt idx="0">
                  <c:v>4.1688689955304598E-4</c:v>
                </c:pt>
                <c:pt idx="1">
                  <c:v>-4.1910347251658596E-4</c:v>
                </c:pt>
                <c:pt idx="2">
                  <c:v>4.2131399235627499E-4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89-404F-937A-D1E4AFA3C57E}"/>
            </c:ext>
          </c:extLst>
        </c:ser>
        <c:ser>
          <c:idx val="2"/>
          <c:order val="2"/>
          <c:tx>
            <c:strRef>
              <c:f>工作表8!$D$2</c:f>
              <c:strCache>
                <c:ptCount val="1"/>
                <c:pt idx="0">
                  <c:v>εx(mm)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工作表8!$A$3:$A$5</c:f>
              <c:strCache>
                <c:ptCount val="3"/>
                <c:pt idx="0">
                  <c:v>C1</c:v>
                </c:pt>
                <c:pt idx="1">
                  <c:v>C2</c:v>
                </c:pt>
                <c:pt idx="2">
                  <c:v>C3</c:v>
                </c:pt>
              </c:strCache>
            </c:strRef>
          </c:xVal>
          <c:yVal>
            <c:numRef>
              <c:f>工作表8!$D$3:$D$5</c:f>
              <c:numCache>
                <c:formatCode>0.000000</c:formatCode>
                <c:ptCount val="3"/>
                <c:pt idx="0">
                  <c:v>1.9798E-2</c:v>
                </c:pt>
                <c:pt idx="1">
                  <c:v>-9.2900000000000003E-4</c:v>
                </c:pt>
                <c:pt idx="2">
                  <c:v>-6.3200000000000001E-3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89-404F-937A-D1E4AFA3C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686432"/>
        <c:axId val="316691712"/>
      </c:scatterChart>
      <c:valAx>
        <c:axId val="316686432"/>
        <c:scaling>
          <c:orientation val="minMax"/>
          <c:max val="3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16691712"/>
        <c:crosses val="autoZero"/>
        <c:crossBetween val="midCat"/>
      </c:valAx>
      <c:valAx>
        <c:axId val="316691712"/>
        <c:scaling>
          <c:orientation val="minMax"/>
          <c:max val="2.0000000000000004E-2"/>
          <c:min val="-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16686432"/>
        <c:crosses val="autoZero"/>
        <c:crossBetween val="midCat"/>
        <c:majorUnit val="1.0000000000000002E-2"/>
        <c:min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C1~C3</a:t>
            </a:r>
            <a:r>
              <a:rPr lang="zh-TW" altLang="en-US"/>
              <a:t>之</a:t>
            </a:r>
            <a:r>
              <a:rPr lang="en-US" altLang="zh-TW"/>
              <a:t>y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工作表8!$B$8</c:f>
              <c:strCache>
                <c:ptCount val="1"/>
                <c:pt idx="0">
                  <c:v>vy(mm)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工作表8!$A$9:$A$11</c:f>
              <c:strCache>
                <c:ptCount val="3"/>
                <c:pt idx="0">
                  <c:v>C1</c:v>
                </c:pt>
                <c:pt idx="1">
                  <c:v>C2</c:v>
                </c:pt>
                <c:pt idx="2">
                  <c:v>C3</c:v>
                </c:pt>
              </c:strCache>
            </c:strRef>
          </c:xVal>
          <c:yVal>
            <c:numRef>
              <c:f>工作表8!$B$9:$B$11</c:f>
              <c:numCache>
                <c:formatCode>0.000000</c:formatCode>
                <c:ptCount val="3"/>
                <c:pt idx="0">
                  <c:v>-1.84E-2</c:v>
                </c:pt>
                <c:pt idx="1">
                  <c:v>1.6905E-2</c:v>
                </c:pt>
                <c:pt idx="2">
                  <c:v>1.5120000000000001E-3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09-424E-86FC-945E47D1D2D5}"/>
            </c:ext>
          </c:extLst>
        </c:ser>
        <c:ser>
          <c:idx val="1"/>
          <c:order val="1"/>
          <c:tx>
            <c:strRef>
              <c:f>工作表8!$C$8</c:f>
              <c:strCache>
                <c:ptCount val="1"/>
                <c:pt idx="0">
                  <c:v>Wy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工作表8!$A$9:$A$11</c:f>
              <c:strCache>
                <c:ptCount val="3"/>
                <c:pt idx="0">
                  <c:v>C1</c:v>
                </c:pt>
                <c:pt idx="1">
                  <c:v>C2</c:v>
                </c:pt>
                <c:pt idx="2">
                  <c:v>C3</c:v>
                </c:pt>
              </c:strCache>
            </c:strRef>
          </c:xVal>
          <c:yVal>
            <c:numRef>
              <c:f>工作表8!$C$9:$C$11</c:f>
              <c:numCache>
                <c:formatCode>0.000000</c:formatCode>
                <c:ptCount val="3"/>
                <c:pt idx="0">
                  <c:v>-1.51357949403428E-3</c:v>
                </c:pt>
                <c:pt idx="1">
                  <c:v>1.3899971227052099E-3</c:v>
                </c:pt>
                <c:pt idx="2">
                  <c:v>1.24276872235625E-4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09-424E-86FC-945E47D1D2D5}"/>
            </c:ext>
          </c:extLst>
        </c:ser>
        <c:ser>
          <c:idx val="2"/>
          <c:order val="2"/>
          <c:tx>
            <c:strRef>
              <c:f>工作表8!$D$8</c:f>
              <c:strCache>
                <c:ptCount val="1"/>
                <c:pt idx="0">
                  <c:v>εy(mm)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工作表8!$A$9:$A$11</c:f>
              <c:strCache>
                <c:ptCount val="3"/>
                <c:pt idx="0">
                  <c:v>C1</c:v>
                </c:pt>
                <c:pt idx="1">
                  <c:v>C2</c:v>
                </c:pt>
                <c:pt idx="2">
                  <c:v>C3</c:v>
                </c:pt>
              </c:strCache>
            </c:strRef>
          </c:xVal>
          <c:yVal>
            <c:numRef>
              <c:f>工作表8!$D$9:$D$11</c:f>
              <c:numCache>
                <c:formatCode>0.000000</c:formatCode>
                <c:ptCount val="3"/>
                <c:pt idx="0">
                  <c:v>-9.9340000000000001E-3</c:v>
                </c:pt>
                <c:pt idx="1">
                  <c:v>2.5381999999999998E-2</c:v>
                </c:pt>
                <c:pt idx="2">
                  <c:v>9.9989999999999992E-3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09-424E-86FC-945E47D1D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680672"/>
        <c:axId val="316679232"/>
      </c:scatterChart>
      <c:valAx>
        <c:axId val="316680672"/>
        <c:scaling>
          <c:orientation val="minMax"/>
          <c:max val="3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16679232"/>
        <c:crosses val="autoZero"/>
        <c:crossBetween val="midCat"/>
      </c:valAx>
      <c:valAx>
        <c:axId val="316679232"/>
        <c:scaling>
          <c:orientation val="minMax"/>
          <c:min val="-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16680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95250</xdr:rowOff>
    </xdr:from>
    <xdr:to>
      <xdr:col>15</xdr:col>
      <xdr:colOff>228600</xdr:colOff>
      <xdr:row>18</xdr:row>
      <xdr:rowOff>80010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42E6DC9E-CFCB-A696-08F6-41005A8A7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495300</xdr:colOff>
      <xdr:row>19</xdr:row>
      <xdr:rowOff>118110</xdr:rowOff>
    </xdr:from>
    <xdr:to>
      <xdr:col>8</xdr:col>
      <xdr:colOff>190500</xdr:colOff>
      <xdr:row>32</xdr:row>
      <xdr:rowOff>186690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2453BD6-F40C-30DF-0A77-60BFE5218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335280</xdr:colOff>
      <xdr:row>5</xdr:row>
      <xdr:rowOff>133350</xdr:rowOff>
    </xdr:from>
    <xdr:to>
      <xdr:col>15</xdr:col>
      <xdr:colOff>30480</xdr:colOff>
      <xdr:row>18</xdr:row>
      <xdr:rowOff>201930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C1B7E83-2DAF-2DD0-3CF4-7DE1F2008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548640</xdr:colOff>
      <xdr:row>9</xdr:row>
      <xdr:rowOff>186690</xdr:rowOff>
    </xdr:from>
    <xdr:to>
      <xdr:col>14</xdr:col>
      <xdr:colOff>243840</xdr:colOff>
      <xdr:row>23</xdr:row>
      <xdr:rowOff>49530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E0BBB45-4B26-1119-94A5-0DC183100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424D-7068-49E6-B6D8-BF0AE810D7F5}">
  <dimension ref="A1:C25"/>
  <sheetViews>
    <sheetView topLeftCell="A3" workbookViewId="0">
      <selection sqref="A1:C25"/>
    </sheetView>
  </sheetViews>
  <sheetFormatPr defaultRowHeight="16.2"/>
  <sheetData>
    <row r="1" spans="1:3">
      <c r="B1" t="s">
        <v>0</v>
      </c>
      <c r="C1" t="s">
        <v>1</v>
      </c>
    </row>
    <row r="2" spans="1:3">
      <c r="A2" t="s">
        <v>2</v>
      </c>
      <c r="B2">
        <v>29.87</v>
      </c>
      <c r="C2">
        <v>29.140999999999998</v>
      </c>
    </row>
    <row r="3" spans="1:3">
      <c r="A3" t="s">
        <v>3</v>
      </c>
      <c r="B3">
        <v>7.4999999999999997E-2</v>
      </c>
      <c r="C3">
        <v>29.163</v>
      </c>
    </row>
    <row r="4" spans="1:3">
      <c r="A4" t="s">
        <v>4</v>
      </c>
      <c r="B4">
        <v>-29.692</v>
      </c>
      <c r="C4">
        <v>29.186</v>
      </c>
    </row>
    <row r="5" spans="1:3">
      <c r="A5" t="s">
        <v>5</v>
      </c>
      <c r="B5">
        <v>39.652000000000001</v>
      </c>
      <c r="C5">
        <v>39.587000000000003</v>
      </c>
    </row>
    <row r="6" spans="1:3">
      <c r="A6" t="s">
        <v>6</v>
      </c>
      <c r="B6">
        <v>-0.13500000000000001</v>
      </c>
      <c r="C6">
        <v>39.743000000000002</v>
      </c>
    </row>
    <row r="7" spans="1:3">
      <c r="A7" t="s">
        <v>7</v>
      </c>
      <c r="B7">
        <v>-40.149000000000001</v>
      </c>
      <c r="C7">
        <v>39.901000000000003</v>
      </c>
    </row>
    <row r="8" spans="1:3">
      <c r="A8" t="s">
        <v>8</v>
      </c>
      <c r="B8">
        <v>6.3719999999999999</v>
      </c>
      <c r="C8">
        <v>5.8920000000000003</v>
      </c>
    </row>
    <row r="9" spans="1:3">
      <c r="A9" t="s">
        <v>9</v>
      </c>
      <c r="B9">
        <v>0.36799999999999999</v>
      </c>
      <c r="C9">
        <v>5.9009999999999998</v>
      </c>
    </row>
    <row r="10" spans="1:3">
      <c r="A10" t="s">
        <v>10</v>
      </c>
      <c r="B10">
        <v>-5.6260000000000003</v>
      </c>
      <c r="C10">
        <v>5.9089999999999998</v>
      </c>
    </row>
    <row r="11" spans="1:3">
      <c r="A11" t="s">
        <v>11</v>
      </c>
      <c r="B11">
        <v>7.8419999999999996</v>
      </c>
      <c r="C11">
        <v>7.4960000000000004</v>
      </c>
    </row>
    <row r="12" spans="1:3">
      <c r="A12" t="s">
        <v>12</v>
      </c>
      <c r="B12">
        <v>-0.14299999999999999</v>
      </c>
      <c r="C12">
        <v>7.53</v>
      </c>
    </row>
    <row r="13" spans="1:3">
      <c r="A13" t="s">
        <v>13</v>
      </c>
      <c r="B13">
        <v>-8.1359999999999992</v>
      </c>
      <c r="C13">
        <v>7.5629999999999997</v>
      </c>
    </row>
    <row r="14" spans="1:3">
      <c r="A14" t="s">
        <v>14</v>
      </c>
      <c r="B14">
        <v>30.044</v>
      </c>
      <c r="C14">
        <v>-30.363</v>
      </c>
    </row>
    <row r="15" spans="1:3">
      <c r="A15" t="s">
        <v>15</v>
      </c>
      <c r="B15">
        <v>-4.1000000000000002E-2</v>
      </c>
      <c r="C15">
        <v>-30.245999999999999</v>
      </c>
    </row>
    <row r="16" spans="1:3">
      <c r="A16" t="s">
        <v>16</v>
      </c>
      <c r="B16">
        <v>-30.085999999999999</v>
      </c>
      <c r="C16">
        <v>-30.129000000000001</v>
      </c>
    </row>
    <row r="17" spans="1:3">
      <c r="A17" t="s">
        <v>17</v>
      </c>
      <c r="B17">
        <v>39.505000000000003</v>
      </c>
      <c r="C17">
        <v>-40.005000000000003</v>
      </c>
    </row>
    <row r="18" spans="1:3">
      <c r="A18" t="s">
        <v>18</v>
      </c>
      <c r="B18">
        <v>-0.35899999999999999</v>
      </c>
      <c r="C18">
        <v>-40.201999999999998</v>
      </c>
    </row>
    <row r="19" spans="1:3">
      <c r="A19" t="s">
        <v>19</v>
      </c>
      <c r="B19">
        <v>-40.658000000000001</v>
      </c>
      <c r="C19">
        <v>-40.401000000000003</v>
      </c>
    </row>
    <row r="20" spans="1:3">
      <c r="A20" t="s">
        <v>20</v>
      </c>
      <c r="B20">
        <v>6.0970000000000004</v>
      </c>
      <c r="C20">
        <v>-6.0759999999999996</v>
      </c>
    </row>
    <row r="21" spans="1:3">
      <c r="A21" t="s">
        <v>21</v>
      </c>
      <c r="B21">
        <v>9.5000000000000001E-2</v>
      </c>
      <c r="C21">
        <v>-6.0679999999999996</v>
      </c>
    </row>
    <row r="22" spans="1:3">
      <c r="A22" t="s">
        <v>22</v>
      </c>
      <c r="B22">
        <v>-5.9050000000000002</v>
      </c>
      <c r="C22">
        <v>-6.0609999999999999</v>
      </c>
    </row>
    <row r="23" spans="1:3">
      <c r="A23" t="s">
        <v>23</v>
      </c>
      <c r="B23">
        <v>7.6669999999999998</v>
      </c>
      <c r="C23">
        <v>-8.2750000000000004</v>
      </c>
    </row>
    <row r="24" spans="1:3">
      <c r="A24" t="s">
        <v>24</v>
      </c>
      <c r="B24">
        <v>-0.33200000000000002</v>
      </c>
      <c r="C24">
        <v>-8.2629999999999999</v>
      </c>
    </row>
    <row r="25" spans="1:3">
      <c r="A25" t="s">
        <v>25</v>
      </c>
      <c r="B25">
        <v>-8.3469999999999995</v>
      </c>
      <c r="C25">
        <v>-8.2509999999999994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F0527-09D4-424E-A96B-F60DBE0F6D23}">
  <dimension ref="A1:H188"/>
  <sheetViews>
    <sheetView topLeftCell="A119" workbookViewId="0">
      <selection activeCell="L182" sqref="L182"/>
    </sheetView>
  </sheetViews>
  <sheetFormatPr defaultRowHeight="16.2"/>
  <sheetData>
    <row r="1" spans="1:8">
      <c r="A1" t="s">
        <v>28</v>
      </c>
      <c r="C1" s="1"/>
    </row>
    <row r="2" spans="1:8">
      <c r="A2" t="s">
        <v>26</v>
      </c>
      <c r="B2" t="s">
        <v>27</v>
      </c>
      <c r="C2" t="s">
        <v>26</v>
      </c>
      <c r="D2" t="s">
        <v>27</v>
      </c>
      <c r="E2" t="s">
        <v>26</v>
      </c>
      <c r="F2" t="s">
        <v>27</v>
      </c>
      <c r="G2" t="s">
        <v>26</v>
      </c>
      <c r="H2" t="s">
        <v>27</v>
      </c>
    </row>
    <row r="3" spans="1:8">
      <c r="A3">
        <v>1</v>
      </c>
      <c r="B3">
        <v>-0.1</v>
      </c>
      <c r="C3">
        <v>187</v>
      </c>
      <c r="D3">
        <v>7.6</v>
      </c>
      <c r="E3">
        <v>373</v>
      </c>
      <c r="F3">
        <v>3.6</v>
      </c>
      <c r="G3">
        <v>559</v>
      </c>
      <c r="H3">
        <v>6.4</v>
      </c>
    </row>
    <row r="4" spans="1:8">
      <c r="A4">
        <v>2</v>
      </c>
      <c r="B4">
        <v>29.5</v>
      </c>
      <c r="C4">
        <v>188</v>
      </c>
      <c r="D4">
        <v>3</v>
      </c>
      <c r="E4">
        <v>374</v>
      </c>
      <c r="F4">
        <v>-6.3</v>
      </c>
      <c r="G4">
        <v>560</v>
      </c>
      <c r="H4">
        <v>16.600000000000001</v>
      </c>
    </row>
    <row r="5" spans="1:8">
      <c r="A5">
        <v>3</v>
      </c>
      <c r="B5">
        <v>32.5</v>
      </c>
      <c r="C5">
        <v>189</v>
      </c>
      <c r="D5">
        <v>-11.8</v>
      </c>
      <c r="E5">
        <v>375</v>
      </c>
      <c r="F5">
        <v>-24.8</v>
      </c>
      <c r="G5">
        <v>561</v>
      </c>
      <c r="H5">
        <v>-8.5</v>
      </c>
    </row>
    <row r="6" spans="1:8">
      <c r="A6">
        <v>4</v>
      </c>
      <c r="B6">
        <v>3.5</v>
      </c>
      <c r="C6">
        <v>190</v>
      </c>
      <c r="D6">
        <v>3</v>
      </c>
      <c r="E6">
        <v>376</v>
      </c>
      <c r="F6">
        <v>-16.100000000000001</v>
      </c>
      <c r="G6">
        <v>562</v>
      </c>
      <c r="H6">
        <v>3.3</v>
      </c>
    </row>
    <row r="7" spans="1:8">
      <c r="A7">
        <v>5</v>
      </c>
      <c r="B7">
        <v>35.4</v>
      </c>
      <c r="C7">
        <v>191</v>
      </c>
      <c r="D7">
        <v>27.7</v>
      </c>
      <c r="E7">
        <v>377</v>
      </c>
      <c r="F7">
        <v>-19.3</v>
      </c>
      <c r="G7">
        <v>563</v>
      </c>
      <c r="H7">
        <v>17.100000000000001</v>
      </c>
    </row>
    <row r="8" spans="1:8">
      <c r="A8">
        <v>6</v>
      </c>
      <c r="B8">
        <v>11.4</v>
      </c>
      <c r="C8">
        <v>192</v>
      </c>
      <c r="D8">
        <v>6.9</v>
      </c>
      <c r="E8">
        <v>378</v>
      </c>
      <c r="F8">
        <v>-18</v>
      </c>
      <c r="G8">
        <v>564</v>
      </c>
      <c r="H8">
        <v>13.1</v>
      </c>
    </row>
    <row r="9" spans="1:8">
      <c r="A9">
        <v>7</v>
      </c>
      <c r="B9">
        <v>14.2</v>
      </c>
      <c r="C9">
        <v>193</v>
      </c>
      <c r="D9">
        <v>-5.8</v>
      </c>
      <c r="E9">
        <v>379</v>
      </c>
      <c r="F9">
        <v>-2.7</v>
      </c>
      <c r="G9">
        <v>565</v>
      </c>
      <c r="H9">
        <v>0.9</v>
      </c>
    </row>
    <row r="10" spans="1:8">
      <c r="A10">
        <v>8</v>
      </c>
      <c r="B10">
        <v>11.1</v>
      </c>
      <c r="C10">
        <v>194</v>
      </c>
      <c r="D10">
        <v>2.1</v>
      </c>
      <c r="E10">
        <v>380</v>
      </c>
      <c r="F10">
        <v>3.9</v>
      </c>
      <c r="G10">
        <v>566</v>
      </c>
      <c r="H10">
        <v>-33.1</v>
      </c>
    </row>
    <row r="11" spans="1:8">
      <c r="A11">
        <v>9</v>
      </c>
      <c r="B11">
        <v>-9.9</v>
      </c>
      <c r="C11">
        <v>195</v>
      </c>
      <c r="D11">
        <v>-33.200000000000003</v>
      </c>
      <c r="E11">
        <v>381</v>
      </c>
      <c r="F11">
        <v>-19.7</v>
      </c>
      <c r="G11">
        <v>567</v>
      </c>
      <c r="H11">
        <v>-9</v>
      </c>
    </row>
    <row r="12" spans="1:8">
      <c r="A12">
        <v>10</v>
      </c>
      <c r="B12">
        <v>3.9</v>
      </c>
      <c r="C12">
        <v>196</v>
      </c>
      <c r="D12">
        <v>-29.8</v>
      </c>
      <c r="E12">
        <v>382</v>
      </c>
      <c r="F12">
        <v>-31.1</v>
      </c>
      <c r="G12">
        <v>568</v>
      </c>
      <c r="H12">
        <v>-39.799999999999997</v>
      </c>
    </row>
    <row r="13" spans="1:8">
      <c r="A13">
        <v>11</v>
      </c>
      <c r="B13">
        <v>10.4</v>
      </c>
      <c r="C13">
        <v>197</v>
      </c>
      <c r="D13">
        <v>-21.4</v>
      </c>
      <c r="E13">
        <v>383</v>
      </c>
      <c r="F13">
        <v>-21.1</v>
      </c>
      <c r="G13">
        <v>569</v>
      </c>
      <c r="H13">
        <v>-7.5</v>
      </c>
    </row>
    <row r="14" spans="1:8">
      <c r="A14">
        <v>12</v>
      </c>
      <c r="B14">
        <v>23.7</v>
      </c>
      <c r="C14">
        <v>198</v>
      </c>
      <c r="D14">
        <v>-22.9</v>
      </c>
      <c r="E14">
        <v>384</v>
      </c>
      <c r="F14">
        <v>12.1</v>
      </c>
      <c r="G14">
        <v>570</v>
      </c>
      <c r="H14">
        <v>17.600000000000001</v>
      </c>
    </row>
    <row r="15" spans="1:8">
      <c r="A15">
        <v>13</v>
      </c>
      <c r="B15">
        <v>-51.4</v>
      </c>
      <c r="C15">
        <v>199</v>
      </c>
      <c r="D15">
        <v>44.1</v>
      </c>
      <c r="E15">
        <v>385</v>
      </c>
      <c r="F15">
        <v>17.2</v>
      </c>
      <c r="G15">
        <v>571</v>
      </c>
      <c r="H15">
        <v>9.5</v>
      </c>
    </row>
    <row r="16" spans="1:8">
      <c r="A16">
        <v>14</v>
      </c>
      <c r="B16">
        <v>-17.100000000000001</v>
      </c>
      <c r="C16">
        <v>200</v>
      </c>
      <c r="D16">
        <v>11.4</v>
      </c>
      <c r="E16">
        <v>386</v>
      </c>
      <c r="F16">
        <v>-28.5</v>
      </c>
      <c r="G16">
        <v>572</v>
      </c>
      <c r="H16">
        <v>48.5</v>
      </c>
    </row>
    <row r="17" spans="1:8">
      <c r="A17">
        <v>15</v>
      </c>
      <c r="B17">
        <v>27.7</v>
      </c>
      <c r="C17">
        <v>201</v>
      </c>
      <c r="D17">
        <v>19.8</v>
      </c>
      <c r="E17">
        <v>387</v>
      </c>
      <c r="F17">
        <v>7</v>
      </c>
      <c r="G17">
        <v>573</v>
      </c>
      <c r="H17">
        <v>-3.9</v>
      </c>
    </row>
    <row r="18" spans="1:8">
      <c r="A18">
        <v>16</v>
      </c>
      <c r="B18">
        <v>13</v>
      </c>
      <c r="C18">
        <v>202</v>
      </c>
      <c r="D18">
        <v>-5.8</v>
      </c>
      <c r="E18">
        <v>388</v>
      </c>
      <c r="F18">
        <v>-9.1</v>
      </c>
      <c r="G18">
        <v>574</v>
      </c>
      <c r="H18">
        <v>14.1</v>
      </c>
    </row>
    <row r="19" spans="1:8">
      <c r="A19">
        <v>17</v>
      </c>
      <c r="B19">
        <v>4.4000000000000004</v>
      </c>
      <c r="C19">
        <v>203</v>
      </c>
      <c r="D19">
        <v>-14.6</v>
      </c>
      <c r="E19">
        <v>389</v>
      </c>
      <c r="F19">
        <v>-18.7</v>
      </c>
      <c r="G19">
        <v>575</v>
      </c>
      <c r="H19">
        <v>2.2000000000000002</v>
      </c>
    </row>
    <row r="20" spans="1:8">
      <c r="A20">
        <v>18</v>
      </c>
      <c r="B20">
        <v>10.5</v>
      </c>
      <c r="C20">
        <v>204</v>
      </c>
      <c r="D20">
        <v>15.9</v>
      </c>
      <c r="E20">
        <v>390</v>
      </c>
      <c r="F20">
        <v>5.6</v>
      </c>
      <c r="G20">
        <v>576</v>
      </c>
      <c r="H20">
        <v>-18.7</v>
      </c>
    </row>
    <row r="21" spans="1:8">
      <c r="A21">
        <v>19</v>
      </c>
      <c r="B21">
        <v>23.7</v>
      </c>
      <c r="C21">
        <v>205</v>
      </c>
      <c r="D21">
        <v>8.1999999999999993</v>
      </c>
      <c r="E21">
        <v>391</v>
      </c>
      <c r="F21">
        <v>-27.9</v>
      </c>
      <c r="G21">
        <v>577</v>
      </c>
      <c r="H21">
        <v>0.6</v>
      </c>
    </row>
    <row r="22" spans="1:8">
      <c r="A22">
        <v>20</v>
      </c>
      <c r="B22">
        <v>-18.899999999999999</v>
      </c>
      <c r="C22">
        <v>206</v>
      </c>
      <c r="D22">
        <v>-8.5</v>
      </c>
      <c r="E22">
        <v>392</v>
      </c>
      <c r="F22">
        <v>-27.6</v>
      </c>
      <c r="G22">
        <v>578</v>
      </c>
      <c r="H22">
        <v>-11.4</v>
      </c>
    </row>
    <row r="23" spans="1:8">
      <c r="A23">
        <v>21</v>
      </c>
      <c r="B23">
        <v>8.1999999999999993</v>
      </c>
      <c r="C23">
        <v>207</v>
      </c>
      <c r="D23">
        <v>-35.9</v>
      </c>
      <c r="E23">
        <v>393</v>
      </c>
      <c r="F23">
        <v>-7.7</v>
      </c>
      <c r="G23">
        <v>579</v>
      </c>
      <c r="H23">
        <v>-18.399999999999999</v>
      </c>
    </row>
    <row r="24" spans="1:8">
      <c r="A24">
        <v>22</v>
      </c>
      <c r="B24">
        <v>-37.6</v>
      </c>
      <c r="C24">
        <v>208</v>
      </c>
      <c r="D24">
        <v>41.8</v>
      </c>
      <c r="E24">
        <v>394</v>
      </c>
      <c r="F24">
        <v>-46.5</v>
      </c>
      <c r="G24">
        <v>580</v>
      </c>
      <c r="H24">
        <v>-12.1</v>
      </c>
    </row>
    <row r="25" spans="1:8">
      <c r="A25">
        <v>23</v>
      </c>
      <c r="B25">
        <v>2.6</v>
      </c>
      <c r="C25">
        <v>209</v>
      </c>
      <c r="D25">
        <v>40.4</v>
      </c>
      <c r="E25">
        <v>395</v>
      </c>
      <c r="F25">
        <v>-16.3</v>
      </c>
      <c r="G25">
        <v>581</v>
      </c>
      <c r="H25">
        <v>-4</v>
      </c>
    </row>
    <row r="26" spans="1:8">
      <c r="A26">
        <v>24</v>
      </c>
      <c r="B26">
        <v>1.9</v>
      </c>
      <c r="C26">
        <v>210</v>
      </c>
      <c r="D26">
        <v>-21.4</v>
      </c>
      <c r="E26">
        <v>396</v>
      </c>
      <c r="F26">
        <v>-26.9</v>
      </c>
      <c r="G26">
        <v>582</v>
      </c>
      <c r="H26">
        <v>52.9</v>
      </c>
    </row>
    <row r="27" spans="1:8">
      <c r="A27">
        <v>25</v>
      </c>
      <c r="B27">
        <v>25.2</v>
      </c>
      <c r="C27">
        <v>211</v>
      </c>
      <c r="D27">
        <v>25</v>
      </c>
      <c r="E27">
        <v>397</v>
      </c>
      <c r="F27">
        <v>-35.799999999999997</v>
      </c>
      <c r="G27">
        <v>583</v>
      </c>
      <c r="H27">
        <v>-10.6</v>
      </c>
    </row>
    <row r="28" spans="1:8">
      <c r="A28">
        <v>26</v>
      </c>
      <c r="B28">
        <v>-14.7</v>
      </c>
      <c r="C28">
        <v>212</v>
      </c>
      <c r="D28">
        <v>-5.9</v>
      </c>
      <c r="E28">
        <v>398</v>
      </c>
      <c r="F28">
        <v>-17.899999999999999</v>
      </c>
      <c r="G28">
        <v>584</v>
      </c>
      <c r="H28">
        <v>-13.8</v>
      </c>
    </row>
    <row r="29" spans="1:8">
      <c r="A29">
        <v>27</v>
      </c>
      <c r="B29">
        <v>10.9</v>
      </c>
      <c r="C29">
        <v>213</v>
      </c>
      <c r="D29">
        <v>-12.4</v>
      </c>
      <c r="E29">
        <v>399</v>
      </c>
      <c r="F29">
        <v>0.7</v>
      </c>
      <c r="G29">
        <v>585</v>
      </c>
      <c r="H29">
        <v>-14.5</v>
      </c>
    </row>
    <row r="30" spans="1:8">
      <c r="A30">
        <v>28</v>
      </c>
      <c r="B30">
        <v>19.100000000000001</v>
      </c>
      <c r="C30">
        <v>214</v>
      </c>
      <c r="D30">
        <v>-20.8</v>
      </c>
      <c r="E30">
        <v>400</v>
      </c>
      <c r="F30">
        <v>-6.5</v>
      </c>
      <c r="G30">
        <v>586</v>
      </c>
      <c r="H30">
        <v>0</v>
      </c>
    </row>
    <row r="31" spans="1:8">
      <c r="A31">
        <v>29</v>
      </c>
      <c r="B31">
        <v>-14.1</v>
      </c>
      <c r="C31">
        <v>215</v>
      </c>
      <c r="D31">
        <v>-9.1</v>
      </c>
      <c r="E31">
        <v>401</v>
      </c>
      <c r="F31">
        <v>43.8</v>
      </c>
      <c r="G31">
        <v>587</v>
      </c>
      <c r="H31">
        <v>23</v>
      </c>
    </row>
    <row r="32" spans="1:8">
      <c r="A32">
        <v>30</v>
      </c>
      <c r="B32">
        <v>6.2</v>
      </c>
      <c r="C32">
        <v>216</v>
      </c>
      <c r="D32">
        <v>3.3</v>
      </c>
      <c r="E32">
        <v>402</v>
      </c>
      <c r="F32">
        <v>-3.6</v>
      </c>
      <c r="G32">
        <v>588</v>
      </c>
      <c r="H32">
        <v>-23.2</v>
      </c>
    </row>
    <row r="33" spans="1:8">
      <c r="A33">
        <v>31</v>
      </c>
      <c r="B33">
        <v>1</v>
      </c>
      <c r="C33">
        <v>217</v>
      </c>
      <c r="D33">
        <v>-28.7</v>
      </c>
      <c r="E33">
        <v>403</v>
      </c>
      <c r="F33">
        <v>-17.899999999999999</v>
      </c>
      <c r="G33">
        <v>589</v>
      </c>
      <c r="H33">
        <v>-49.1</v>
      </c>
    </row>
    <row r="34" spans="1:8">
      <c r="A34">
        <v>32</v>
      </c>
      <c r="B34">
        <v>-3.5</v>
      </c>
      <c r="C34">
        <v>218</v>
      </c>
      <c r="D34">
        <v>2.2999999999999998</v>
      </c>
      <c r="E34">
        <v>404</v>
      </c>
      <c r="F34">
        <v>14</v>
      </c>
      <c r="G34">
        <v>590</v>
      </c>
      <c r="H34">
        <v>-1.7</v>
      </c>
    </row>
    <row r="35" spans="1:8">
      <c r="A35">
        <v>33</v>
      </c>
      <c r="B35">
        <v>-10</v>
      </c>
      <c r="C35">
        <v>219</v>
      </c>
      <c r="D35">
        <v>-30.7</v>
      </c>
      <c r="E35">
        <v>405</v>
      </c>
      <c r="F35">
        <v>12.2</v>
      </c>
      <c r="G35">
        <v>591</v>
      </c>
      <c r="H35">
        <v>19.899999999999999</v>
      </c>
    </row>
    <row r="36" spans="1:8">
      <c r="A36">
        <v>34</v>
      </c>
      <c r="B36">
        <v>-13.2</v>
      </c>
      <c r="C36">
        <v>220</v>
      </c>
      <c r="D36">
        <v>-3.4</v>
      </c>
      <c r="E36">
        <v>406</v>
      </c>
      <c r="F36">
        <v>-19</v>
      </c>
      <c r="G36">
        <v>592</v>
      </c>
      <c r="H36">
        <v>-48.3</v>
      </c>
    </row>
    <row r="37" spans="1:8">
      <c r="A37">
        <v>35</v>
      </c>
      <c r="B37">
        <v>-23.4</v>
      </c>
      <c r="C37">
        <v>221</v>
      </c>
      <c r="D37">
        <v>-19.100000000000001</v>
      </c>
      <c r="E37">
        <v>407</v>
      </c>
      <c r="F37">
        <v>-2.5</v>
      </c>
      <c r="G37">
        <v>593</v>
      </c>
      <c r="H37">
        <v>15.4</v>
      </c>
    </row>
    <row r="38" spans="1:8">
      <c r="A38">
        <v>36</v>
      </c>
      <c r="B38">
        <v>-9.3000000000000007</v>
      </c>
      <c r="C38">
        <v>222</v>
      </c>
      <c r="D38">
        <v>25.1</v>
      </c>
      <c r="E38">
        <v>408</v>
      </c>
      <c r="F38">
        <v>-23.7</v>
      </c>
      <c r="G38">
        <v>594</v>
      </c>
      <c r="H38">
        <v>25</v>
      </c>
    </row>
    <row r="39" spans="1:8">
      <c r="A39">
        <v>37</v>
      </c>
      <c r="B39">
        <v>-18.600000000000001</v>
      </c>
      <c r="C39">
        <v>223</v>
      </c>
      <c r="D39">
        <v>-14.1</v>
      </c>
      <c r="E39">
        <v>409</v>
      </c>
      <c r="F39">
        <v>-7.6</v>
      </c>
      <c r="G39">
        <v>595</v>
      </c>
      <c r="H39">
        <v>3.5</v>
      </c>
    </row>
    <row r="40" spans="1:8">
      <c r="A40">
        <v>38</v>
      </c>
      <c r="B40">
        <v>-0.9</v>
      </c>
      <c r="C40">
        <v>224</v>
      </c>
      <c r="D40">
        <v>-4.5</v>
      </c>
      <c r="E40">
        <v>410</v>
      </c>
      <c r="F40">
        <v>-6.6</v>
      </c>
      <c r="G40">
        <v>596</v>
      </c>
      <c r="H40">
        <v>-39.200000000000003</v>
      </c>
    </row>
    <row r="41" spans="1:8">
      <c r="A41">
        <v>39</v>
      </c>
      <c r="B41">
        <v>31.3</v>
      </c>
      <c r="C41">
        <v>225</v>
      </c>
      <c r="D41">
        <v>8.6</v>
      </c>
      <c r="E41">
        <v>411</v>
      </c>
      <c r="F41">
        <v>41.9</v>
      </c>
      <c r="G41">
        <v>597</v>
      </c>
      <c r="H41">
        <v>0.4</v>
      </c>
    </row>
    <row r="42" spans="1:8">
      <c r="A42">
        <v>40</v>
      </c>
      <c r="B42">
        <v>-5.9</v>
      </c>
      <c r="C42">
        <v>226</v>
      </c>
      <c r="D42">
        <v>-4.2</v>
      </c>
      <c r="E42">
        <v>412</v>
      </c>
      <c r="F42">
        <v>13.4</v>
      </c>
      <c r="G42">
        <v>598</v>
      </c>
      <c r="H42">
        <v>11.3</v>
      </c>
    </row>
    <row r="43" spans="1:8">
      <c r="A43">
        <v>41</v>
      </c>
      <c r="B43">
        <v>19.399999999999999</v>
      </c>
      <c r="C43">
        <v>227</v>
      </c>
      <c r="D43">
        <v>-11.5</v>
      </c>
      <c r="E43">
        <v>413</v>
      </c>
      <c r="F43">
        <v>-23.8</v>
      </c>
      <c r="G43">
        <v>599</v>
      </c>
      <c r="H43">
        <v>16.600000000000001</v>
      </c>
    </row>
    <row r="44" spans="1:8">
      <c r="A44">
        <v>42</v>
      </c>
      <c r="B44">
        <v>9.8000000000000007</v>
      </c>
      <c r="C44">
        <v>228</v>
      </c>
      <c r="D44">
        <v>-35.299999999999997</v>
      </c>
      <c r="E44">
        <v>414</v>
      </c>
      <c r="F44">
        <v>-29.1</v>
      </c>
      <c r="G44">
        <v>600</v>
      </c>
      <c r="H44">
        <v>14.2</v>
      </c>
    </row>
    <row r="45" spans="1:8">
      <c r="A45">
        <v>43</v>
      </c>
      <c r="B45">
        <v>27</v>
      </c>
      <c r="C45">
        <v>229</v>
      </c>
      <c r="D45">
        <v>-7.9</v>
      </c>
      <c r="E45">
        <v>415</v>
      </c>
      <c r="F45">
        <v>-14.5</v>
      </c>
      <c r="G45">
        <v>601</v>
      </c>
      <c r="H45">
        <v>14.7</v>
      </c>
    </row>
    <row r="46" spans="1:8">
      <c r="A46">
        <v>44</v>
      </c>
      <c r="B46">
        <v>-0.1</v>
      </c>
      <c r="C46">
        <v>230</v>
      </c>
      <c r="D46">
        <v>22.8</v>
      </c>
      <c r="E46">
        <v>416</v>
      </c>
      <c r="F46">
        <v>6.7</v>
      </c>
      <c r="G46">
        <v>602</v>
      </c>
      <c r="H46">
        <v>22.5</v>
      </c>
    </row>
    <row r="47" spans="1:8">
      <c r="A47">
        <v>45</v>
      </c>
      <c r="B47">
        <v>-2</v>
      </c>
      <c r="C47">
        <v>231</v>
      </c>
      <c r="D47">
        <v>8.4</v>
      </c>
      <c r="E47">
        <v>417</v>
      </c>
      <c r="F47">
        <v>37.299999999999997</v>
      </c>
      <c r="G47">
        <v>603</v>
      </c>
      <c r="H47">
        <v>-24</v>
      </c>
    </row>
    <row r="48" spans="1:8">
      <c r="A48">
        <v>46</v>
      </c>
      <c r="B48">
        <v>-3</v>
      </c>
      <c r="C48">
        <v>232</v>
      </c>
      <c r="D48">
        <v>-23.2</v>
      </c>
      <c r="E48">
        <v>418</v>
      </c>
      <c r="F48">
        <v>-12.4</v>
      </c>
      <c r="G48">
        <v>604</v>
      </c>
      <c r="H48">
        <v>20.7</v>
      </c>
    </row>
    <row r="49" spans="1:8">
      <c r="A49">
        <v>47</v>
      </c>
      <c r="B49">
        <v>-24.3</v>
      </c>
      <c r="C49">
        <v>233</v>
      </c>
      <c r="D49">
        <v>19.100000000000001</v>
      </c>
      <c r="E49">
        <v>419</v>
      </c>
      <c r="F49">
        <v>-3.6</v>
      </c>
      <c r="G49">
        <v>605</v>
      </c>
      <c r="H49">
        <v>-35.1</v>
      </c>
    </row>
    <row r="50" spans="1:8">
      <c r="A50">
        <v>48</v>
      </c>
      <c r="B50">
        <v>40.6</v>
      </c>
      <c r="C50">
        <v>234</v>
      </c>
      <c r="D50">
        <v>-2.8</v>
      </c>
      <c r="E50">
        <v>420</v>
      </c>
      <c r="F50">
        <v>-31.9</v>
      </c>
      <c r="G50">
        <v>606</v>
      </c>
      <c r="H50">
        <v>1.1000000000000001</v>
      </c>
    </row>
    <row r="51" spans="1:8">
      <c r="A51">
        <v>49</v>
      </c>
      <c r="B51">
        <v>-28.5</v>
      </c>
      <c r="C51">
        <v>235</v>
      </c>
      <c r="D51">
        <v>14.8</v>
      </c>
      <c r="E51">
        <v>421</v>
      </c>
      <c r="F51">
        <v>24</v>
      </c>
      <c r="G51">
        <v>607</v>
      </c>
      <c r="H51">
        <v>6.5</v>
      </c>
    </row>
    <row r="52" spans="1:8">
      <c r="A52">
        <v>50</v>
      </c>
      <c r="B52">
        <v>-2.5</v>
      </c>
      <c r="C52">
        <v>236</v>
      </c>
      <c r="D52">
        <v>3</v>
      </c>
      <c r="E52">
        <v>422</v>
      </c>
      <c r="F52">
        <v>11.7</v>
      </c>
      <c r="G52">
        <v>608</v>
      </c>
      <c r="H52">
        <v>21.9</v>
      </c>
    </row>
    <row r="53" spans="1:8">
      <c r="A53">
        <v>51</v>
      </c>
      <c r="B53">
        <v>-7.3</v>
      </c>
      <c r="C53">
        <v>237</v>
      </c>
      <c r="D53">
        <v>-46.4</v>
      </c>
      <c r="E53">
        <v>423</v>
      </c>
      <c r="F53">
        <v>17.5</v>
      </c>
      <c r="G53">
        <v>609</v>
      </c>
      <c r="H53">
        <v>-19.600000000000001</v>
      </c>
    </row>
    <row r="54" spans="1:8">
      <c r="A54">
        <v>52</v>
      </c>
      <c r="B54">
        <v>1.5</v>
      </c>
      <c r="C54">
        <v>238</v>
      </c>
      <c r="D54">
        <v>-21.3</v>
      </c>
      <c r="E54">
        <v>424</v>
      </c>
      <c r="F54">
        <v>14.6</v>
      </c>
      <c r="G54">
        <v>610</v>
      </c>
      <c r="H54">
        <v>3.6</v>
      </c>
    </row>
    <row r="55" spans="1:8">
      <c r="A55">
        <v>53</v>
      </c>
      <c r="B55">
        <v>-28.6</v>
      </c>
      <c r="C55">
        <v>239</v>
      </c>
      <c r="D55">
        <v>31.9</v>
      </c>
      <c r="E55">
        <v>425</v>
      </c>
      <c r="F55">
        <v>-41.8</v>
      </c>
      <c r="G55">
        <v>611</v>
      </c>
      <c r="H55">
        <v>26.7</v>
      </c>
    </row>
    <row r="56" spans="1:8">
      <c r="A56">
        <v>54</v>
      </c>
      <c r="B56">
        <v>15.6</v>
      </c>
      <c r="C56">
        <v>240</v>
      </c>
      <c r="D56">
        <v>-3.8</v>
      </c>
      <c r="E56">
        <v>426</v>
      </c>
      <c r="F56">
        <v>22.4</v>
      </c>
      <c r="G56">
        <v>612</v>
      </c>
      <c r="H56">
        <v>7.9</v>
      </c>
    </row>
    <row r="57" spans="1:8">
      <c r="A57">
        <v>55</v>
      </c>
      <c r="B57">
        <v>-0.9</v>
      </c>
      <c r="C57">
        <v>241</v>
      </c>
      <c r="D57">
        <v>-12.2</v>
      </c>
      <c r="E57">
        <v>427</v>
      </c>
      <c r="F57">
        <v>-1.4</v>
      </c>
      <c r="G57">
        <v>613</v>
      </c>
      <c r="H57">
        <v>15.1</v>
      </c>
    </row>
    <row r="58" spans="1:8">
      <c r="A58">
        <v>56</v>
      </c>
      <c r="B58">
        <v>-4.5999999999999996</v>
      </c>
      <c r="C58">
        <v>242</v>
      </c>
      <c r="D58">
        <v>5.4</v>
      </c>
      <c r="E58">
        <v>428</v>
      </c>
      <c r="F58">
        <v>-12.4</v>
      </c>
      <c r="G58">
        <v>614</v>
      </c>
      <c r="H58">
        <v>-0.6</v>
      </c>
    </row>
    <row r="59" spans="1:8">
      <c r="A59">
        <v>57</v>
      </c>
      <c r="B59">
        <v>28.4</v>
      </c>
      <c r="C59">
        <v>243</v>
      </c>
      <c r="D59">
        <v>11.5</v>
      </c>
      <c r="E59">
        <v>429</v>
      </c>
      <c r="F59">
        <v>-9.3000000000000007</v>
      </c>
      <c r="G59">
        <v>615</v>
      </c>
      <c r="H59">
        <v>-11.9</v>
      </c>
    </row>
    <row r="60" spans="1:8">
      <c r="A60">
        <v>58</v>
      </c>
      <c r="B60">
        <v>13.5</v>
      </c>
      <c r="C60">
        <v>244</v>
      </c>
      <c r="D60">
        <v>-14.5</v>
      </c>
      <c r="E60">
        <v>430</v>
      </c>
      <c r="F60">
        <v>21.7</v>
      </c>
      <c r="G60">
        <v>616</v>
      </c>
      <c r="H60">
        <v>20.100000000000001</v>
      </c>
    </row>
    <row r="61" spans="1:8">
      <c r="A61">
        <v>59</v>
      </c>
      <c r="B61">
        <v>34.4</v>
      </c>
      <c r="C61">
        <v>245</v>
      </c>
      <c r="D61">
        <v>6.1</v>
      </c>
      <c r="E61">
        <v>431</v>
      </c>
      <c r="F61">
        <v>38</v>
      </c>
      <c r="G61">
        <v>617</v>
      </c>
      <c r="H61">
        <v>12.1</v>
      </c>
    </row>
    <row r="62" spans="1:8">
      <c r="A62">
        <v>60</v>
      </c>
      <c r="B62">
        <v>26.3</v>
      </c>
      <c r="C62">
        <v>246</v>
      </c>
      <c r="D62">
        <v>-25.3</v>
      </c>
      <c r="E62">
        <v>432</v>
      </c>
      <c r="F62">
        <v>20.3</v>
      </c>
      <c r="G62">
        <v>618</v>
      </c>
      <c r="H62">
        <v>21.8</v>
      </c>
    </row>
    <row r="63" spans="1:8">
      <c r="A63">
        <v>61</v>
      </c>
      <c r="B63">
        <v>-10.9</v>
      </c>
      <c r="C63">
        <v>247</v>
      </c>
      <c r="D63">
        <v>-13.7</v>
      </c>
      <c r="E63">
        <v>433</v>
      </c>
      <c r="F63">
        <v>36.200000000000003</v>
      </c>
      <c r="G63">
        <v>619</v>
      </c>
      <c r="H63">
        <v>-9.1</v>
      </c>
    </row>
    <row r="64" spans="1:8">
      <c r="A64">
        <v>62</v>
      </c>
      <c r="B64">
        <v>-5.0999999999999996</v>
      </c>
      <c r="C64">
        <v>248</v>
      </c>
      <c r="D64">
        <v>-12.5</v>
      </c>
      <c r="E64">
        <v>434</v>
      </c>
      <c r="F64">
        <v>-10.9</v>
      </c>
      <c r="G64">
        <v>620</v>
      </c>
      <c r="H64">
        <v>1.1000000000000001</v>
      </c>
    </row>
    <row r="65" spans="1:8">
      <c r="A65">
        <v>63</v>
      </c>
      <c r="B65">
        <v>24.9</v>
      </c>
      <c r="C65">
        <v>249</v>
      </c>
      <c r="D65">
        <v>3.8</v>
      </c>
      <c r="E65">
        <v>435</v>
      </c>
      <c r="F65">
        <v>-30.6</v>
      </c>
      <c r="G65">
        <v>621</v>
      </c>
      <c r="H65">
        <v>20.9</v>
      </c>
    </row>
    <row r="66" spans="1:8">
      <c r="A66">
        <v>64</v>
      </c>
      <c r="B66">
        <v>-8.3000000000000007</v>
      </c>
      <c r="C66">
        <v>250</v>
      </c>
      <c r="D66">
        <v>38.299999999999997</v>
      </c>
      <c r="E66">
        <v>436</v>
      </c>
      <c r="F66">
        <v>-7.9</v>
      </c>
      <c r="G66">
        <v>622</v>
      </c>
      <c r="H66">
        <v>-21.3</v>
      </c>
    </row>
    <row r="67" spans="1:8">
      <c r="A67">
        <v>65</v>
      </c>
      <c r="B67">
        <v>-1.5</v>
      </c>
      <c r="C67">
        <v>251</v>
      </c>
      <c r="D67">
        <v>11.9</v>
      </c>
      <c r="E67">
        <v>437</v>
      </c>
      <c r="F67">
        <v>-21.7</v>
      </c>
      <c r="G67">
        <v>623</v>
      </c>
      <c r="H67">
        <v>11.3</v>
      </c>
    </row>
    <row r="68" spans="1:8">
      <c r="A68">
        <v>66</v>
      </c>
      <c r="B68">
        <v>-9</v>
      </c>
      <c r="C68">
        <v>252</v>
      </c>
      <c r="D68">
        <v>-18.2</v>
      </c>
      <c r="E68">
        <v>438</v>
      </c>
      <c r="F68">
        <v>-22.2</v>
      </c>
      <c r="G68">
        <v>624</v>
      </c>
      <c r="H68">
        <v>9.5</v>
      </c>
    </row>
    <row r="69" spans="1:8">
      <c r="A69">
        <v>67</v>
      </c>
      <c r="B69">
        <v>8.3000000000000007</v>
      </c>
      <c r="C69">
        <v>253</v>
      </c>
      <c r="D69">
        <v>-33.6</v>
      </c>
      <c r="E69">
        <v>439</v>
      </c>
      <c r="F69">
        <v>-7.6</v>
      </c>
      <c r="G69">
        <v>625</v>
      </c>
      <c r="H69">
        <v>31.1</v>
      </c>
    </row>
    <row r="70" spans="1:8">
      <c r="A70">
        <v>68</v>
      </c>
      <c r="B70">
        <v>21.5</v>
      </c>
      <c r="C70">
        <v>254</v>
      </c>
      <c r="D70">
        <v>-15.7</v>
      </c>
      <c r="E70">
        <v>440</v>
      </c>
      <c r="F70">
        <v>-30</v>
      </c>
      <c r="G70">
        <v>626</v>
      </c>
      <c r="H70">
        <v>39.4</v>
      </c>
    </row>
    <row r="71" spans="1:8">
      <c r="A71">
        <v>69</v>
      </c>
      <c r="B71">
        <v>-12.2</v>
      </c>
      <c r="C71">
        <v>255</v>
      </c>
      <c r="D71">
        <v>29.9</v>
      </c>
      <c r="E71">
        <v>441</v>
      </c>
      <c r="F71">
        <v>-18.2</v>
      </c>
      <c r="G71">
        <v>627</v>
      </c>
      <c r="H71">
        <v>26.2</v>
      </c>
    </row>
    <row r="72" spans="1:8">
      <c r="A72">
        <v>70</v>
      </c>
      <c r="B72">
        <v>-10</v>
      </c>
      <c r="C72">
        <v>256</v>
      </c>
      <c r="D72">
        <v>10.4</v>
      </c>
      <c r="E72">
        <v>442</v>
      </c>
      <c r="F72">
        <v>-2.2999999999999998</v>
      </c>
      <c r="G72">
        <v>628</v>
      </c>
      <c r="H72">
        <v>-22.5</v>
      </c>
    </row>
    <row r="73" spans="1:8">
      <c r="A73">
        <v>71</v>
      </c>
      <c r="B73">
        <v>19.100000000000001</v>
      </c>
      <c r="C73">
        <v>257</v>
      </c>
      <c r="D73">
        <v>-21.7</v>
      </c>
      <c r="E73">
        <v>443</v>
      </c>
      <c r="F73">
        <v>2.2000000000000002</v>
      </c>
      <c r="G73">
        <v>629</v>
      </c>
      <c r="H73">
        <v>-32.700000000000003</v>
      </c>
    </row>
    <row r="74" spans="1:8">
      <c r="A74">
        <v>72</v>
      </c>
      <c r="B74">
        <v>34.200000000000003</v>
      </c>
      <c r="C74">
        <v>258</v>
      </c>
      <c r="D74">
        <v>26.7</v>
      </c>
      <c r="E74">
        <v>444</v>
      </c>
      <c r="F74">
        <v>-15.9</v>
      </c>
      <c r="G74">
        <v>630</v>
      </c>
      <c r="H74">
        <v>-26.8</v>
      </c>
    </row>
    <row r="75" spans="1:8">
      <c r="A75">
        <v>73</v>
      </c>
      <c r="B75">
        <v>19</v>
      </c>
      <c r="C75">
        <v>259</v>
      </c>
      <c r="D75">
        <v>-16.899999999999999</v>
      </c>
      <c r="E75">
        <v>445</v>
      </c>
      <c r="F75">
        <v>-5.4</v>
      </c>
      <c r="G75">
        <v>631</v>
      </c>
      <c r="H75">
        <v>14.5</v>
      </c>
    </row>
    <row r="76" spans="1:8">
      <c r="A76">
        <v>74</v>
      </c>
      <c r="B76">
        <v>-27.5</v>
      </c>
      <c r="C76">
        <v>260</v>
      </c>
      <c r="D76">
        <v>-0.7</v>
      </c>
      <c r="E76">
        <v>446</v>
      </c>
      <c r="F76">
        <v>-0.7</v>
      </c>
      <c r="G76">
        <v>632</v>
      </c>
      <c r="H76">
        <v>-10.6</v>
      </c>
    </row>
    <row r="77" spans="1:8">
      <c r="A77">
        <v>75</v>
      </c>
      <c r="B77">
        <v>-1.4</v>
      </c>
      <c r="C77">
        <v>261</v>
      </c>
      <c r="D77">
        <v>-14</v>
      </c>
      <c r="E77">
        <v>447</v>
      </c>
      <c r="F77">
        <v>-7.2</v>
      </c>
      <c r="G77">
        <v>633</v>
      </c>
      <c r="H77">
        <v>-21.4</v>
      </c>
    </row>
    <row r="78" spans="1:8">
      <c r="A78">
        <v>76</v>
      </c>
      <c r="B78">
        <v>6.3</v>
      </c>
      <c r="C78">
        <v>262</v>
      </c>
      <c r="D78">
        <v>-0.3</v>
      </c>
      <c r="E78">
        <v>448</v>
      </c>
      <c r="F78">
        <v>14</v>
      </c>
      <c r="G78">
        <v>634</v>
      </c>
      <c r="H78">
        <v>-3.8</v>
      </c>
    </row>
    <row r="79" spans="1:8">
      <c r="A79">
        <v>77</v>
      </c>
      <c r="B79">
        <v>1.5</v>
      </c>
      <c r="C79">
        <v>263</v>
      </c>
      <c r="D79">
        <v>-13.7</v>
      </c>
      <c r="E79">
        <v>449</v>
      </c>
      <c r="F79">
        <v>-18.2</v>
      </c>
      <c r="G79">
        <v>635</v>
      </c>
      <c r="H79">
        <v>-2.1</v>
      </c>
    </row>
    <row r="80" spans="1:8">
      <c r="A80">
        <v>78</v>
      </c>
      <c r="B80">
        <v>-10.6</v>
      </c>
      <c r="C80">
        <v>264</v>
      </c>
      <c r="D80">
        <v>-14.8</v>
      </c>
      <c r="E80">
        <v>450</v>
      </c>
      <c r="F80">
        <v>9.1</v>
      </c>
      <c r="G80">
        <v>636</v>
      </c>
      <c r="H80">
        <v>-27.2</v>
      </c>
    </row>
    <row r="81" spans="1:8">
      <c r="A81">
        <v>79</v>
      </c>
      <c r="B81">
        <v>-35.1</v>
      </c>
      <c r="C81">
        <v>265</v>
      </c>
      <c r="D81">
        <v>-14.9</v>
      </c>
      <c r="E81">
        <v>451</v>
      </c>
      <c r="F81">
        <v>30</v>
      </c>
      <c r="G81">
        <v>637</v>
      </c>
      <c r="H81">
        <v>0.5</v>
      </c>
    </row>
    <row r="82" spans="1:8">
      <c r="A82">
        <v>80</v>
      </c>
      <c r="B82">
        <v>24.1</v>
      </c>
      <c r="C82">
        <v>266</v>
      </c>
      <c r="D82">
        <v>40.700000000000003</v>
      </c>
      <c r="E82">
        <v>452</v>
      </c>
      <c r="F82">
        <v>33.4</v>
      </c>
      <c r="G82">
        <v>638</v>
      </c>
      <c r="H82">
        <v>-21.8</v>
      </c>
    </row>
    <row r="83" spans="1:8">
      <c r="A83">
        <v>81</v>
      </c>
      <c r="B83">
        <v>21.2</v>
      </c>
      <c r="C83">
        <v>267</v>
      </c>
      <c r="D83">
        <v>-40.1</v>
      </c>
      <c r="E83">
        <v>453</v>
      </c>
      <c r="F83">
        <v>-10.5</v>
      </c>
      <c r="G83">
        <v>639</v>
      </c>
      <c r="H83">
        <v>-16.7</v>
      </c>
    </row>
    <row r="84" spans="1:8">
      <c r="A84">
        <v>82</v>
      </c>
      <c r="B84">
        <v>14.5</v>
      </c>
      <c r="C84">
        <v>268</v>
      </c>
      <c r="D84">
        <v>20.5</v>
      </c>
      <c r="E84">
        <v>454</v>
      </c>
      <c r="F84">
        <v>10</v>
      </c>
      <c r="G84">
        <v>640</v>
      </c>
      <c r="H84">
        <v>18.100000000000001</v>
      </c>
    </row>
    <row r="85" spans="1:8">
      <c r="A85">
        <v>83</v>
      </c>
      <c r="B85">
        <v>-7.6</v>
      </c>
      <c r="C85">
        <v>269</v>
      </c>
      <c r="D85">
        <v>-9.3000000000000007</v>
      </c>
      <c r="E85">
        <v>455</v>
      </c>
      <c r="F85">
        <v>-19.600000000000001</v>
      </c>
      <c r="G85">
        <v>641</v>
      </c>
      <c r="H85">
        <v>-10.7</v>
      </c>
    </row>
    <row r="86" spans="1:8">
      <c r="A86">
        <v>84</v>
      </c>
      <c r="B86">
        <v>-26.3</v>
      </c>
      <c r="C86">
        <v>270</v>
      </c>
      <c r="D86">
        <v>11</v>
      </c>
      <c r="E86">
        <v>456</v>
      </c>
      <c r="F86">
        <v>9.4</v>
      </c>
      <c r="G86">
        <v>642</v>
      </c>
      <c r="H86">
        <v>-14</v>
      </c>
    </row>
    <row r="87" spans="1:8">
      <c r="A87">
        <v>85</v>
      </c>
      <c r="B87">
        <v>11.7</v>
      </c>
      <c r="C87">
        <v>271</v>
      </c>
      <c r="D87">
        <v>20.7</v>
      </c>
      <c r="E87">
        <v>457</v>
      </c>
      <c r="F87">
        <v>-33.4</v>
      </c>
      <c r="G87">
        <v>643</v>
      </c>
      <c r="H87">
        <v>30</v>
      </c>
    </row>
    <row r="88" spans="1:8">
      <c r="A88">
        <v>86</v>
      </c>
      <c r="B88">
        <v>-17.2</v>
      </c>
      <c r="C88">
        <v>272</v>
      </c>
      <c r="D88">
        <v>-29.3</v>
      </c>
      <c r="E88">
        <v>458</v>
      </c>
      <c r="F88">
        <v>-34.5</v>
      </c>
      <c r="G88">
        <v>644</v>
      </c>
      <c r="H88">
        <v>20.6</v>
      </c>
    </row>
    <row r="89" spans="1:8">
      <c r="A89">
        <v>87</v>
      </c>
      <c r="B89">
        <v>-4.8</v>
      </c>
      <c r="C89">
        <v>273</v>
      </c>
      <c r="D89">
        <v>14.8</v>
      </c>
      <c r="E89">
        <v>459</v>
      </c>
      <c r="F89">
        <v>-18.399999999999999</v>
      </c>
      <c r="G89">
        <v>645</v>
      </c>
      <c r="H89">
        <v>8.6999999999999993</v>
      </c>
    </row>
    <row r="90" spans="1:8">
      <c r="A90">
        <v>88</v>
      </c>
      <c r="B90">
        <v>25</v>
      </c>
      <c r="C90">
        <v>274</v>
      </c>
      <c r="D90">
        <v>-5.0999999999999996</v>
      </c>
      <c r="E90">
        <v>460</v>
      </c>
      <c r="F90">
        <v>-36.700000000000003</v>
      </c>
      <c r="G90">
        <v>646</v>
      </c>
      <c r="H90">
        <v>6.2</v>
      </c>
    </row>
    <row r="91" spans="1:8">
      <c r="A91">
        <v>89</v>
      </c>
      <c r="B91">
        <v>19.2</v>
      </c>
      <c r="C91">
        <v>275</v>
      </c>
      <c r="D91">
        <v>-20.6</v>
      </c>
      <c r="E91">
        <v>461</v>
      </c>
      <c r="F91">
        <v>10</v>
      </c>
      <c r="G91">
        <v>647</v>
      </c>
      <c r="H91">
        <v>-18.2</v>
      </c>
    </row>
    <row r="92" spans="1:8">
      <c r="A92">
        <v>90</v>
      </c>
      <c r="B92">
        <v>-6.6</v>
      </c>
      <c r="C92">
        <v>276</v>
      </c>
      <c r="D92">
        <v>-0.6</v>
      </c>
      <c r="E92">
        <v>462</v>
      </c>
      <c r="F92">
        <v>1.4</v>
      </c>
      <c r="G92">
        <v>648</v>
      </c>
      <c r="H92">
        <v>-13.6</v>
      </c>
    </row>
    <row r="93" spans="1:8">
      <c r="A93">
        <v>91</v>
      </c>
      <c r="B93">
        <v>7.3</v>
      </c>
      <c r="C93">
        <v>277</v>
      </c>
      <c r="D93">
        <v>-1.8</v>
      </c>
      <c r="E93">
        <v>463</v>
      </c>
      <c r="F93">
        <v>19.8</v>
      </c>
      <c r="G93">
        <v>649</v>
      </c>
      <c r="H93">
        <v>15.7</v>
      </c>
    </row>
    <row r="94" spans="1:8">
      <c r="A94">
        <v>92</v>
      </c>
      <c r="B94">
        <v>-13.3</v>
      </c>
      <c r="C94">
        <v>278</v>
      </c>
      <c r="D94">
        <v>6.2</v>
      </c>
      <c r="E94">
        <v>464</v>
      </c>
      <c r="F94">
        <v>6.1</v>
      </c>
      <c r="G94">
        <v>650</v>
      </c>
      <c r="H94">
        <v>1.2</v>
      </c>
    </row>
    <row r="95" spans="1:8">
      <c r="A95">
        <v>93</v>
      </c>
      <c r="B95">
        <v>-15.7</v>
      </c>
      <c r="C95">
        <v>279</v>
      </c>
      <c r="D95">
        <v>8.1</v>
      </c>
      <c r="E95">
        <v>465</v>
      </c>
      <c r="F95">
        <v>13</v>
      </c>
      <c r="G95">
        <v>651</v>
      </c>
      <c r="H95">
        <v>-10.8</v>
      </c>
    </row>
    <row r="96" spans="1:8">
      <c r="A96">
        <v>94</v>
      </c>
      <c r="B96">
        <v>-4</v>
      </c>
      <c r="C96">
        <v>280</v>
      </c>
      <c r="D96">
        <v>-6.1</v>
      </c>
      <c r="E96">
        <v>466</v>
      </c>
      <c r="F96">
        <v>-19.7</v>
      </c>
      <c r="G96">
        <v>652</v>
      </c>
      <c r="H96">
        <v>41.4</v>
      </c>
    </row>
    <row r="97" spans="1:8">
      <c r="A97">
        <v>95</v>
      </c>
      <c r="B97">
        <v>-25.7</v>
      </c>
      <c r="C97">
        <v>281</v>
      </c>
      <c r="D97">
        <v>15</v>
      </c>
      <c r="E97">
        <v>467</v>
      </c>
      <c r="F97">
        <v>17.3</v>
      </c>
      <c r="G97">
        <v>653</v>
      </c>
      <c r="H97">
        <v>-11.8</v>
      </c>
    </row>
    <row r="98" spans="1:8">
      <c r="A98">
        <v>96</v>
      </c>
      <c r="B98">
        <v>37.799999999999997</v>
      </c>
      <c r="C98">
        <v>282</v>
      </c>
      <c r="D98">
        <v>6.2</v>
      </c>
      <c r="E98">
        <v>468</v>
      </c>
      <c r="F98">
        <v>-0.6</v>
      </c>
      <c r="G98">
        <v>654</v>
      </c>
      <c r="H98">
        <v>-13.4</v>
      </c>
    </row>
    <row r="99" spans="1:8">
      <c r="A99">
        <v>97</v>
      </c>
      <c r="B99">
        <v>10.1</v>
      </c>
      <c r="C99">
        <v>283</v>
      </c>
      <c r="D99">
        <v>25.5</v>
      </c>
      <c r="E99">
        <v>469</v>
      </c>
      <c r="F99">
        <v>-13.2</v>
      </c>
      <c r="G99">
        <v>655</v>
      </c>
      <c r="H99">
        <v>-9.9</v>
      </c>
    </row>
    <row r="100" spans="1:8">
      <c r="A100">
        <v>98</v>
      </c>
      <c r="B100">
        <v>-15.2</v>
      </c>
      <c r="C100">
        <v>284</v>
      </c>
      <c r="D100">
        <v>28.5</v>
      </c>
      <c r="E100">
        <v>470</v>
      </c>
      <c r="F100">
        <v>22.8</v>
      </c>
      <c r="G100">
        <v>656</v>
      </c>
      <c r="H100">
        <v>-47.7</v>
      </c>
    </row>
    <row r="101" spans="1:8">
      <c r="A101">
        <v>99</v>
      </c>
      <c r="B101">
        <v>-0.1</v>
      </c>
      <c r="C101">
        <v>285</v>
      </c>
      <c r="D101">
        <v>-9.8000000000000007</v>
      </c>
      <c r="E101">
        <v>471</v>
      </c>
      <c r="F101">
        <v>14.9</v>
      </c>
      <c r="G101">
        <v>657</v>
      </c>
      <c r="H101">
        <v>10.5</v>
      </c>
    </row>
    <row r="102" spans="1:8">
      <c r="A102">
        <v>100</v>
      </c>
      <c r="B102">
        <v>19.2</v>
      </c>
      <c r="C102">
        <v>286</v>
      </c>
      <c r="D102">
        <v>-5.5</v>
      </c>
      <c r="E102">
        <v>472</v>
      </c>
      <c r="F102">
        <v>-3.8</v>
      </c>
      <c r="G102">
        <v>658</v>
      </c>
      <c r="H102">
        <v>21.1</v>
      </c>
    </row>
    <row r="103" spans="1:8">
      <c r="A103">
        <v>101</v>
      </c>
      <c r="B103">
        <v>-3.5</v>
      </c>
      <c r="C103">
        <v>287</v>
      </c>
      <c r="D103">
        <v>21.4</v>
      </c>
      <c r="E103">
        <v>473</v>
      </c>
      <c r="F103">
        <v>5.5</v>
      </c>
      <c r="G103">
        <v>659</v>
      </c>
      <c r="H103">
        <v>10.7</v>
      </c>
    </row>
    <row r="104" spans="1:8">
      <c r="A104">
        <v>102</v>
      </c>
      <c r="B104">
        <v>-4.5999999999999996</v>
      </c>
      <c r="C104">
        <v>288</v>
      </c>
      <c r="D104">
        <v>40.5</v>
      </c>
      <c r="E104">
        <v>474</v>
      </c>
      <c r="F104">
        <v>-7.5</v>
      </c>
      <c r="G104">
        <v>660</v>
      </c>
      <c r="H104">
        <v>-24</v>
      </c>
    </row>
    <row r="105" spans="1:8">
      <c r="A105">
        <v>103</v>
      </c>
      <c r="B105">
        <v>15.6</v>
      </c>
      <c r="C105">
        <v>289</v>
      </c>
      <c r="D105">
        <v>25.9</v>
      </c>
      <c r="E105">
        <v>475</v>
      </c>
      <c r="F105">
        <v>-16.899999999999999</v>
      </c>
      <c r="G105">
        <v>661</v>
      </c>
      <c r="H105">
        <v>-24.9</v>
      </c>
    </row>
    <row r="106" spans="1:8">
      <c r="A106">
        <v>104</v>
      </c>
      <c r="B106">
        <v>29.5</v>
      </c>
      <c r="C106">
        <v>290</v>
      </c>
      <c r="D106">
        <v>0</v>
      </c>
      <c r="E106">
        <v>476</v>
      </c>
      <c r="F106">
        <v>4.2</v>
      </c>
      <c r="G106">
        <v>662</v>
      </c>
      <c r="H106">
        <v>17.399999999999999</v>
      </c>
    </row>
    <row r="107" spans="1:8">
      <c r="A107">
        <v>105</v>
      </c>
      <c r="B107">
        <v>17.399999999999999</v>
      </c>
      <c r="C107">
        <v>291</v>
      </c>
      <c r="D107">
        <v>4.2</v>
      </c>
      <c r="E107">
        <v>477</v>
      </c>
      <c r="F107">
        <v>-5.4</v>
      </c>
      <c r="G107">
        <v>663</v>
      </c>
      <c r="H107">
        <v>-12.8</v>
      </c>
    </row>
    <row r="108" spans="1:8">
      <c r="A108">
        <v>106</v>
      </c>
      <c r="B108">
        <v>2.7</v>
      </c>
      <c r="C108">
        <v>292</v>
      </c>
      <c r="D108">
        <v>32.200000000000003</v>
      </c>
      <c r="E108">
        <v>478</v>
      </c>
      <c r="F108">
        <v>-7.8</v>
      </c>
      <c r="G108">
        <v>664</v>
      </c>
      <c r="H108">
        <v>23.1</v>
      </c>
    </row>
    <row r="109" spans="1:8">
      <c r="A109">
        <v>107</v>
      </c>
      <c r="B109">
        <v>10.6</v>
      </c>
      <c r="C109">
        <v>293</v>
      </c>
      <c r="D109">
        <v>-22.5</v>
      </c>
      <c r="E109">
        <v>479</v>
      </c>
      <c r="F109">
        <v>7.2</v>
      </c>
      <c r="G109">
        <v>665</v>
      </c>
      <c r="H109">
        <v>-22.7</v>
      </c>
    </row>
    <row r="110" spans="1:8">
      <c r="A110">
        <v>108</v>
      </c>
      <c r="B110">
        <v>0.5</v>
      </c>
      <c r="C110">
        <v>294</v>
      </c>
      <c r="D110">
        <v>-4.9000000000000004</v>
      </c>
      <c r="E110">
        <v>480</v>
      </c>
      <c r="F110">
        <v>-9.5</v>
      </c>
      <c r="G110">
        <v>666</v>
      </c>
      <c r="H110">
        <v>10.7</v>
      </c>
    </row>
    <row r="111" spans="1:8">
      <c r="A111">
        <v>109</v>
      </c>
      <c r="B111">
        <v>-9</v>
      </c>
      <c r="C111">
        <v>295</v>
      </c>
      <c r="D111">
        <v>-15.8</v>
      </c>
      <c r="E111">
        <v>481</v>
      </c>
      <c r="F111">
        <v>-6.5</v>
      </c>
      <c r="G111">
        <v>667</v>
      </c>
      <c r="H111">
        <v>-19.3</v>
      </c>
    </row>
    <row r="112" spans="1:8">
      <c r="A112">
        <v>110</v>
      </c>
      <c r="B112">
        <v>-13.2</v>
      </c>
      <c r="C112">
        <v>296</v>
      </c>
      <c r="D112">
        <v>27.9</v>
      </c>
      <c r="E112">
        <v>482</v>
      </c>
      <c r="F112">
        <v>33.299999999999997</v>
      </c>
      <c r="G112">
        <v>668</v>
      </c>
      <c r="H112">
        <v>-10.7</v>
      </c>
    </row>
    <row r="113" spans="1:8">
      <c r="A113">
        <v>111</v>
      </c>
      <c r="B113">
        <v>-15.7</v>
      </c>
      <c r="C113">
        <v>297</v>
      </c>
      <c r="D113">
        <v>-25</v>
      </c>
      <c r="E113">
        <v>483</v>
      </c>
      <c r="F113">
        <v>-45.4</v>
      </c>
      <c r="G113">
        <v>669</v>
      </c>
      <c r="H113">
        <v>-13.6</v>
      </c>
    </row>
    <row r="114" spans="1:8">
      <c r="A114">
        <v>112</v>
      </c>
      <c r="B114">
        <v>-16.899999999999999</v>
      </c>
      <c r="C114">
        <v>298</v>
      </c>
      <c r="D114">
        <v>-10.4</v>
      </c>
      <c r="E114">
        <v>484</v>
      </c>
      <c r="F114">
        <v>-15.3</v>
      </c>
      <c r="G114">
        <v>670</v>
      </c>
      <c r="H114">
        <v>25</v>
      </c>
    </row>
    <row r="115" spans="1:8">
      <c r="A115">
        <v>113</v>
      </c>
      <c r="B115">
        <v>0.2</v>
      </c>
      <c r="C115">
        <v>299</v>
      </c>
      <c r="D115">
        <v>1.2</v>
      </c>
      <c r="E115">
        <v>485</v>
      </c>
      <c r="F115">
        <v>-25.4</v>
      </c>
      <c r="G115">
        <v>671</v>
      </c>
      <c r="H115">
        <v>16</v>
      </c>
    </row>
    <row r="116" spans="1:8">
      <c r="A116">
        <v>114</v>
      </c>
      <c r="B116">
        <v>-31.8</v>
      </c>
      <c r="C116">
        <v>300</v>
      </c>
      <c r="D116">
        <v>6.6</v>
      </c>
      <c r="E116">
        <v>486</v>
      </c>
      <c r="F116">
        <v>40.700000000000003</v>
      </c>
      <c r="G116">
        <v>672</v>
      </c>
      <c r="H116">
        <v>3.9</v>
      </c>
    </row>
    <row r="117" spans="1:8">
      <c r="A117">
        <v>115</v>
      </c>
      <c r="B117">
        <v>-2.6</v>
      </c>
      <c r="C117">
        <v>301</v>
      </c>
      <c r="D117">
        <v>-7.9</v>
      </c>
      <c r="E117">
        <v>487</v>
      </c>
      <c r="F117">
        <v>-5.0999999999999996</v>
      </c>
      <c r="G117">
        <v>673</v>
      </c>
      <c r="H117">
        <v>25.8</v>
      </c>
    </row>
    <row r="118" spans="1:8">
      <c r="A118">
        <v>116</v>
      </c>
      <c r="B118">
        <v>-30.3</v>
      </c>
      <c r="C118">
        <v>302</v>
      </c>
      <c r="D118">
        <v>-20.3</v>
      </c>
      <c r="E118">
        <v>488</v>
      </c>
      <c r="F118">
        <v>32.799999999999997</v>
      </c>
      <c r="G118">
        <v>674</v>
      </c>
      <c r="H118">
        <v>-19.2</v>
      </c>
    </row>
    <row r="119" spans="1:8">
      <c r="A119">
        <v>117</v>
      </c>
      <c r="B119">
        <v>-5.4</v>
      </c>
      <c r="C119">
        <v>303</v>
      </c>
      <c r="D119">
        <v>-6.6</v>
      </c>
      <c r="E119">
        <v>489</v>
      </c>
      <c r="F119">
        <v>3.6</v>
      </c>
      <c r="G119">
        <v>675</v>
      </c>
      <c r="H119">
        <v>-34.299999999999997</v>
      </c>
    </row>
    <row r="120" spans="1:8">
      <c r="A120">
        <v>118</v>
      </c>
      <c r="B120">
        <v>-18.399999999999999</v>
      </c>
      <c r="C120">
        <v>304</v>
      </c>
      <c r="D120">
        <v>-6.5</v>
      </c>
      <c r="E120">
        <v>490</v>
      </c>
      <c r="F120">
        <v>1.2</v>
      </c>
      <c r="G120">
        <v>676</v>
      </c>
      <c r="H120">
        <v>8.6999999999999993</v>
      </c>
    </row>
    <row r="121" spans="1:8">
      <c r="A121">
        <v>119</v>
      </c>
      <c r="B121">
        <v>2.9</v>
      </c>
      <c r="C121">
        <v>305</v>
      </c>
      <c r="D121">
        <v>-23.7</v>
      </c>
      <c r="E121">
        <v>491</v>
      </c>
      <c r="F121">
        <v>-23.5</v>
      </c>
      <c r="G121">
        <v>677</v>
      </c>
      <c r="H121">
        <v>1.2</v>
      </c>
    </row>
    <row r="122" spans="1:8">
      <c r="A122">
        <v>120</v>
      </c>
      <c r="B122">
        <v>19.5</v>
      </c>
      <c r="C122">
        <v>306</v>
      </c>
      <c r="D122">
        <v>-26.8</v>
      </c>
      <c r="E122">
        <v>492</v>
      </c>
      <c r="F122">
        <v>-21.5</v>
      </c>
      <c r="G122">
        <v>678</v>
      </c>
      <c r="H122">
        <v>1.4</v>
      </c>
    </row>
    <row r="123" spans="1:8">
      <c r="A123">
        <v>121</v>
      </c>
      <c r="B123">
        <v>-33.6</v>
      </c>
      <c r="C123">
        <v>307</v>
      </c>
      <c r="D123">
        <v>4.0999999999999996</v>
      </c>
      <c r="E123">
        <v>493</v>
      </c>
      <c r="F123">
        <v>-1.4</v>
      </c>
      <c r="G123">
        <v>679</v>
      </c>
      <c r="H123">
        <v>-18.5</v>
      </c>
    </row>
    <row r="124" spans="1:8">
      <c r="A124">
        <v>122</v>
      </c>
      <c r="B124">
        <v>-15</v>
      </c>
      <c r="C124">
        <v>308</v>
      </c>
      <c r="D124">
        <v>13.9</v>
      </c>
      <c r="E124">
        <v>494</v>
      </c>
      <c r="F124">
        <v>-12.5</v>
      </c>
      <c r="G124">
        <v>680</v>
      </c>
      <c r="H124">
        <v>14.2</v>
      </c>
    </row>
    <row r="125" spans="1:8">
      <c r="A125">
        <v>123</v>
      </c>
      <c r="B125">
        <v>-15</v>
      </c>
      <c r="C125">
        <v>309</v>
      </c>
      <c r="D125">
        <v>10.7</v>
      </c>
      <c r="E125">
        <v>495</v>
      </c>
      <c r="F125">
        <v>41.3</v>
      </c>
      <c r="G125">
        <v>681</v>
      </c>
      <c r="H125">
        <v>10</v>
      </c>
    </row>
    <row r="126" spans="1:8">
      <c r="A126">
        <v>124</v>
      </c>
      <c r="B126">
        <v>-9.1999999999999993</v>
      </c>
      <c r="C126">
        <v>310</v>
      </c>
      <c r="D126">
        <v>0</v>
      </c>
      <c r="E126">
        <v>496</v>
      </c>
      <c r="F126">
        <v>-22.9</v>
      </c>
      <c r="G126">
        <v>682</v>
      </c>
      <c r="H126">
        <v>-26.4</v>
      </c>
    </row>
    <row r="127" spans="1:8">
      <c r="A127">
        <v>125</v>
      </c>
      <c r="B127">
        <v>-3.9</v>
      </c>
      <c r="C127">
        <v>311</v>
      </c>
      <c r="D127">
        <v>-12.5</v>
      </c>
      <c r="E127">
        <v>497</v>
      </c>
      <c r="F127">
        <v>27.8</v>
      </c>
      <c r="G127">
        <v>683</v>
      </c>
      <c r="H127">
        <v>-0.9</v>
      </c>
    </row>
    <row r="128" spans="1:8">
      <c r="A128">
        <v>126</v>
      </c>
      <c r="B128">
        <v>-18.600000000000001</v>
      </c>
      <c r="C128">
        <v>312</v>
      </c>
      <c r="D128">
        <v>-33.200000000000003</v>
      </c>
      <c r="E128">
        <v>498</v>
      </c>
      <c r="F128">
        <v>8.5</v>
      </c>
      <c r="G128">
        <v>684</v>
      </c>
      <c r="H128">
        <v>24.2</v>
      </c>
    </row>
    <row r="129" spans="1:8">
      <c r="A129">
        <v>127</v>
      </c>
      <c r="B129">
        <v>-5.0999999999999996</v>
      </c>
      <c r="C129">
        <v>313</v>
      </c>
      <c r="D129">
        <v>-20.2</v>
      </c>
      <c r="E129">
        <v>499</v>
      </c>
      <c r="F129">
        <v>-6.8</v>
      </c>
      <c r="G129">
        <v>685</v>
      </c>
      <c r="H129">
        <v>-1.9</v>
      </c>
    </row>
    <row r="130" spans="1:8">
      <c r="A130">
        <v>128</v>
      </c>
      <c r="B130">
        <v>19.899999999999999</v>
      </c>
      <c r="C130">
        <v>314</v>
      </c>
      <c r="D130">
        <v>-12.4</v>
      </c>
      <c r="E130">
        <v>500</v>
      </c>
      <c r="F130">
        <v>-20.7</v>
      </c>
      <c r="G130">
        <v>686</v>
      </c>
      <c r="H130">
        <v>40.5</v>
      </c>
    </row>
    <row r="131" spans="1:8">
      <c r="A131">
        <v>129</v>
      </c>
      <c r="B131">
        <v>2.9</v>
      </c>
      <c r="C131">
        <v>315</v>
      </c>
      <c r="D131">
        <v>-6</v>
      </c>
      <c r="E131">
        <v>501</v>
      </c>
      <c r="F131">
        <v>-15</v>
      </c>
      <c r="G131">
        <v>687</v>
      </c>
      <c r="H131">
        <v>1.4</v>
      </c>
    </row>
    <row r="132" spans="1:8">
      <c r="A132">
        <v>130</v>
      </c>
      <c r="B132">
        <v>-10</v>
      </c>
      <c r="C132">
        <v>316</v>
      </c>
      <c r="D132">
        <v>4.9000000000000004</v>
      </c>
      <c r="E132">
        <v>502</v>
      </c>
      <c r="F132">
        <v>-13.6</v>
      </c>
      <c r="G132">
        <v>688</v>
      </c>
      <c r="H132">
        <v>-4.9000000000000004</v>
      </c>
    </row>
    <row r="133" spans="1:8">
      <c r="A133">
        <v>131</v>
      </c>
      <c r="B133">
        <v>6.1</v>
      </c>
      <c r="C133">
        <v>317</v>
      </c>
      <c r="D133">
        <v>4.4000000000000004</v>
      </c>
      <c r="E133">
        <v>503</v>
      </c>
      <c r="F133">
        <v>-27</v>
      </c>
      <c r="G133">
        <v>689</v>
      </c>
      <c r="H133">
        <v>-25.6</v>
      </c>
    </row>
    <row r="134" spans="1:8">
      <c r="A134">
        <v>132</v>
      </c>
      <c r="B134">
        <v>10.9</v>
      </c>
      <c r="C134">
        <v>318</v>
      </c>
      <c r="D134">
        <v>16.399999999999999</v>
      </c>
      <c r="E134">
        <v>504</v>
      </c>
      <c r="F134">
        <v>30.5</v>
      </c>
      <c r="G134">
        <v>690</v>
      </c>
      <c r="H134">
        <v>0.4</v>
      </c>
    </row>
    <row r="135" spans="1:8">
      <c r="A135">
        <v>133</v>
      </c>
      <c r="B135">
        <v>-35.5</v>
      </c>
      <c r="C135">
        <v>319</v>
      </c>
      <c r="D135">
        <v>6.8</v>
      </c>
      <c r="E135">
        <v>505</v>
      </c>
      <c r="F135">
        <v>-16.3</v>
      </c>
      <c r="G135">
        <v>691</v>
      </c>
      <c r="H135">
        <v>11.9</v>
      </c>
    </row>
    <row r="136" spans="1:8">
      <c r="A136">
        <v>134</v>
      </c>
      <c r="B136">
        <v>-3.5</v>
      </c>
      <c r="C136">
        <v>320</v>
      </c>
      <c r="D136">
        <v>-28</v>
      </c>
      <c r="E136">
        <v>506</v>
      </c>
      <c r="F136">
        <v>-24.3</v>
      </c>
      <c r="G136">
        <v>692</v>
      </c>
      <c r="H136">
        <v>37.700000000000003</v>
      </c>
    </row>
    <row r="137" spans="1:8">
      <c r="A137">
        <v>135</v>
      </c>
      <c r="B137">
        <v>39.700000000000003</v>
      </c>
      <c r="C137">
        <v>321</v>
      </c>
      <c r="D137">
        <v>15.5</v>
      </c>
      <c r="E137">
        <v>507</v>
      </c>
      <c r="F137">
        <v>0.3</v>
      </c>
      <c r="G137">
        <v>693</v>
      </c>
      <c r="H137">
        <v>-16.2</v>
      </c>
    </row>
    <row r="138" spans="1:8">
      <c r="A138">
        <v>136</v>
      </c>
      <c r="B138">
        <v>1.1000000000000001</v>
      </c>
      <c r="C138">
        <v>322</v>
      </c>
      <c r="D138">
        <v>-21.7</v>
      </c>
      <c r="E138">
        <v>508</v>
      </c>
      <c r="F138">
        <v>0.4</v>
      </c>
      <c r="G138">
        <v>694</v>
      </c>
      <c r="H138">
        <v>-4.2</v>
      </c>
    </row>
    <row r="139" spans="1:8">
      <c r="A139">
        <v>137</v>
      </c>
      <c r="B139">
        <v>3.5</v>
      </c>
      <c r="C139">
        <v>323</v>
      </c>
      <c r="D139">
        <v>-9.6999999999999993</v>
      </c>
      <c r="E139">
        <v>509</v>
      </c>
      <c r="F139">
        <v>-27.7</v>
      </c>
      <c r="G139">
        <v>695</v>
      </c>
      <c r="H139">
        <v>1.5</v>
      </c>
    </row>
    <row r="140" spans="1:8">
      <c r="A140">
        <v>138</v>
      </c>
      <c r="B140">
        <v>31.5</v>
      </c>
      <c r="C140">
        <v>324</v>
      </c>
      <c r="D140">
        <v>-15</v>
      </c>
      <c r="E140">
        <v>510</v>
      </c>
      <c r="F140">
        <v>-9.5</v>
      </c>
      <c r="G140">
        <v>696</v>
      </c>
      <c r="H140">
        <v>6.7</v>
      </c>
    </row>
    <row r="141" spans="1:8">
      <c r="A141">
        <v>139</v>
      </c>
      <c r="B141">
        <v>-24.1</v>
      </c>
      <c r="C141">
        <v>325</v>
      </c>
      <c r="D141">
        <v>12.4</v>
      </c>
      <c r="E141">
        <v>511</v>
      </c>
      <c r="F141">
        <v>4.9000000000000004</v>
      </c>
      <c r="G141">
        <v>697</v>
      </c>
      <c r="H141">
        <v>8.6</v>
      </c>
    </row>
    <row r="142" spans="1:8">
      <c r="A142">
        <v>140</v>
      </c>
      <c r="B142">
        <v>17.100000000000001</v>
      </c>
      <c r="C142">
        <v>326</v>
      </c>
      <c r="D142">
        <v>-35.6</v>
      </c>
      <c r="E142">
        <v>512</v>
      </c>
      <c r="F142">
        <v>25.7</v>
      </c>
      <c r="G142">
        <v>698</v>
      </c>
      <c r="H142">
        <v>29.6</v>
      </c>
    </row>
    <row r="143" spans="1:8">
      <c r="A143">
        <v>141</v>
      </c>
      <c r="B143">
        <v>-6.1</v>
      </c>
      <c r="C143">
        <v>327</v>
      </c>
      <c r="D143">
        <v>11.5</v>
      </c>
      <c r="E143">
        <v>513</v>
      </c>
      <c r="F143">
        <v>-7</v>
      </c>
      <c r="G143">
        <v>699</v>
      </c>
      <c r="H143">
        <v>14.2</v>
      </c>
    </row>
    <row r="144" spans="1:8">
      <c r="A144">
        <v>142</v>
      </c>
      <c r="B144">
        <v>5</v>
      </c>
      <c r="C144">
        <v>328</v>
      </c>
      <c r="D144">
        <v>-15.3</v>
      </c>
      <c r="E144">
        <v>514</v>
      </c>
      <c r="F144">
        <v>18.399999999999999</v>
      </c>
      <c r="G144">
        <v>700</v>
      </c>
      <c r="H144">
        <v>-11.2</v>
      </c>
    </row>
    <row r="145" spans="1:8">
      <c r="A145">
        <v>143</v>
      </c>
      <c r="B145">
        <v>12.1</v>
      </c>
      <c r="C145">
        <v>329</v>
      </c>
      <c r="D145">
        <v>-17.8</v>
      </c>
      <c r="E145">
        <v>515</v>
      </c>
      <c r="F145">
        <v>-32.4</v>
      </c>
      <c r="G145">
        <v>701</v>
      </c>
      <c r="H145">
        <v>48.1</v>
      </c>
    </row>
    <row r="146" spans="1:8">
      <c r="A146">
        <v>144</v>
      </c>
      <c r="B146">
        <v>-4.2</v>
      </c>
      <c r="C146">
        <v>330</v>
      </c>
      <c r="D146">
        <v>-27.4</v>
      </c>
      <c r="E146">
        <v>516</v>
      </c>
      <c r="F146">
        <v>-8.1</v>
      </c>
      <c r="G146">
        <v>702</v>
      </c>
      <c r="H146">
        <v>-11</v>
      </c>
    </row>
    <row r="147" spans="1:8">
      <c r="A147">
        <v>145</v>
      </c>
      <c r="B147">
        <v>-12.7</v>
      </c>
      <c r="C147">
        <v>331</v>
      </c>
      <c r="D147">
        <v>-17.399999999999999</v>
      </c>
      <c r="E147">
        <v>517</v>
      </c>
      <c r="F147">
        <v>3.4</v>
      </c>
      <c r="G147">
        <v>703</v>
      </c>
      <c r="H147">
        <v>8.5</v>
      </c>
    </row>
    <row r="148" spans="1:8">
      <c r="A148">
        <v>146</v>
      </c>
      <c r="B148">
        <v>12.8</v>
      </c>
      <c r="C148">
        <v>332</v>
      </c>
      <c r="D148">
        <v>-25.4</v>
      </c>
      <c r="E148">
        <v>518</v>
      </c>
      <c r="F148">
        <v>-48.4</v>
      </c>
      <c r="G148">
        <v>704</v>
      </c>
      <c r="H148">
        <v>29.8</v>
      </c>
    </row>
    <row r="149" spans="1:8">
      <c r="A149">
        <v>147</v>
      </c>
      <c r="B149">
        <v>-2.5</v>
      </c>
      <c r="C149">
        <v>333</v>
      </c>
      <c r="D149">
        <v>-19</v>
      </c>
      <c r="E149">
        <v>519</v>
      </c>
      <c r="F149">
        <v>4.5</v>
      </c>
      <c r="G149">
        <v>705</v>
      </c>
      <c r="H149">
        <v>31.2</v>
      </c>
    </row>
    <row r="150" spans="1:8">
      <c r="A150">
        <v>148</v>
      </c>
      <c r="B150">
        <v>2.2000000000000002</v>
      </c>
      <c r="C150">
        <v>334</v>
      </c>
      <c r="D150">
        <v>22.6</v>
      </c>
      <c r="E150">
        <v>520</v>
      </c>
      <c r="F150">
        <v>-12.5</v>
      </c>
      <c r="G150">
        <v>706</v>
      </c>
      <c r="H150">
        <v>-20.2</v>
      </c>
    </row>
    <row r="151" spans="1:8">
      <c r="A151">
        <v>149</v>
      </c>
      <c r="B151">
        <v>11.9</v>
      </c>
      <c r="C151">
        <v>335</v>
      </c>
      <c r="D151">
        <v>-4.7</v>
      </c>
      <c r="E151">
        <v>521</v>
      </c>
      <c r="F151">
        <v>-22.2</v>
      </c>
      <c r="G151">
        <v>707</v>
      </c>
      <c r="H151">
        <v>-3.4</v>
      </c>
    </row>
    <row r="152" spans="1:8">
      <c r="A152">
        <v>150</v>
      </c>
      <c r="B152">
        <v>18</v>
      </c>
      <c r="C152">
        <v>336</v>
      </c>
      <c r="D152">
        <v>-22.1</v>
      </c>
      <c r="E152">
        <v>522</v>
      </c>
      <c r="F152">
        <v>23.5</v>
      </c>
      <c r="G152">
        <v>708</v>
      </c>
      <c r="H152">
        <v>-15.5</v>
      </c>
    </row>
    <row r="153" spans="1:8">
      <c r="A153">
        <v>151</v>
      </c>
      <c r="B153">
        <v>-5</v>
      </c>
      <c r="C153">
        <v>337</v>
      </c>
      <c r="D153">
        <v>22.7</v>
      </c>
      <c r="E153">
        <v>523</v>
      </c>
      <c r="F153">
        <v>5.9</v>
      </c>
      <c r="G153">
        <v>709</v>
      </c>
      <c r="H153">
        <v>-2.8</v>
      </c>
    </row>
    <row r="154" spans="1:8">
      <c r="A154">
        <v>152</v>
      </c>
      <c r="B154">
        <v>-19.5</v>
      </c>
      <c r="C154">
        <v>338</v>
      </c>
      <c r="D154">
        <v>11.2</v>
      </c>
      <c r="E154">
        <v>524</v>
      </c>
      <c r="F154">
        <v>-15.1</v>
      </c>
      <c r="G154">
        <v>710</v>
      </c>
      <c r="H154">
        <v>-3.1</v>
      </c>
    </row>
    <row r="155" spans="1:8">
      <c r="A155">
        <v>153</v>
      </c>
      <c r="B155">
        <v>8.5</v>
      </c>
      <c r="C155">
        <v>339</v>
      </c>
      <c r="D155">
        <v>6.7</v>
      </c>
      <c r="E155">
        <v>525</v>
      </c>
      <c r="F155">
        <v>-7.4</v>
      </c>
      <c r="G155">
        <v>711</v>
      </c>
      <c r="H155">
        <v>-25.5</v>
      </c>
    </row>
    <row r="156" spans="1:8">
      <c r="A156">
        <v>154</v>
      </c>
      <c r="B156">
        <v>26.2</v>
      </c>
      <c r="C156">
        <v>340</v>
      </c>
      <c r="D156">
        <v>-11.8</v>
      </c>
      <c r="E156">
        <v>526</v>
      </c>
      <c r="F156">
        <v>-28.8</v>
      </c>
      <c r="G156">
        <v>712</v>
      </c>
      <c r="H156">
        <v>7.6</v>
      </c>
    </row>
    <row r="157" spans="1:8">
      <c r="A157">
        <v>155</v>
      </c>
      <c r="B157">
        <v>-12.4</v>
      </c>
      <c r="C157">
        <v>341</v>
      </c>
      <c r="D157">
        <v>12.5</v>
      </c>
      <c r="E157">
        <v>527</v>
      </c>
      <c r="F157">
        <v>-21.1</v>
      </c>
      <c r="G157">
        <v>713</v>
      </c>
      <c r="H157">
        <v>8.4</v>
      </c>
    </row>
    <row r="158" spans="1:8">
      <c r="A158">
        <v>156</v>
      </c>
      <c r="B158">
        <v>10</v>
      </c>
      <c r="C158">
        <v>342</v>
      </c>
      <c r="D158">
        <v>-13.9</v>
      </c>
      <c r="E158">
        <v>528</v>
      </c>
      <c r="F158">
        <v>27.3</v>
      </c>
      <c r="G158">
        <v>714</v>
      </c>
      <c r="H158">
        <v>-3.9</v>
      </c>
    </row>
    <row r="159" spans="1:8">
      <c r="A159">
        <v>157</v>
      </c>
      <c r="B159">
        <v>28.3</v>
      </c>
      <c r="C159">
        <v>343</v>
      </c>
      <c r="D159">
        <v>-16.600000000000001</v>
      </c>
      <c r="E159">
        <v>529</v>
      </c>
      <c r="F159">
        <v>40.1</v>
      </c>
      <c r="G159">
        <v>715</v>
      </c>
      <c r="H159">
        <v>-8.9</v>
      </c>
    </row>
    <row r="160" spans="1:8">
      <c r="A160">
        <v>158</v>
      </c>
      <c r="B160">
        <v>-1.5</v>
      </c>
      <c r="C160">
        <v>344</v>
      </c>
      <c r="D160">
        <v>-13</v>
      </c>
      <c r="E160">
        <v>530</v>
      </c>
      <c r="F160">
        <v>15.2</v>
      </c>
      <c r="G160">
        <v>716</v>
      </c>
      <c r="H160">
        <v>-6.8</v>
      </c>
    </row>
    <row r="161" spans="1:8">
      <c r="A161">
        <v>159</v>
      </c>
      <c r="B161">
        <v>6.6</v>
      </c>
      <c r="C161">
        <v>345</v>
      </c>
      <c r="D161">
        <v>-10</v>
      </c>
      <c r="E161">
        <v>531</v>
      </c>
      <c r="F161">
        <v>-14.7</v>
      </c>
      <c r="G161">
        <v>717</v>
      </c>
      <c r="H161">
        <v>-44.3</v>
      </c>
    </row>
    <row r="162" spans="1:8">
      <c r="A162">
        <v>160</v>
      </c>
      <c r="B162">
        <v>-2.2000000000000002</v>
      </c>
      <c r="C162">
        <v>346</v>
      </c>
      <c r="D162">
        <v>9.6999999999999993</v>
      </c>
      <c r="E162">
        <v>532</v>
      </c>
      <c r="F162">
        <v>6.9</v>
      </c>
      <c r="G162">
        <v>718</v>
      </c>
      <c r="H162">
        <v>-23.5</v>
      </c>
    </row>
    <row r="163" spans="1:8">
      <c r="A163">
        <v>161</v>
      </c>
      <c r="B163">
        <v>-18.5</v>
      </c>
      <c r="C163">
        <v>347</v>
      </c>
      <c r="D163">
        <v>17.2</v>
      </c>
      <c r="E163">
        <v>533</v>
      </c>
      <c r="F163">
        <v>-10.9</v>
      </c>
      <c r="G163">
        <v>719</v>
      </c>
      <c r="H163">
        <v>-18.2</v>
      </c>
    </row>
    <row r="164" spans="1:8">
      <c r="A164">
        <v>162</v>
      </c>
      <c r="B164">
        <v>-16</v>
      </c>
      <c r="C164">
        <v>348</v>
      </c>
      <c r="D164">
        <v>-40.799999999999997</v>
      </c>
      <c r="E164">
        <v>534</v>
      </c>
      <c r="F164">
        <v>-14.1</v>
      </c>
      <c r="G164">
        <v>720</v>
      </c>
      <c r="H164">
        <v>3</v>
      </c>
    </row>
    <row r="165" spans="1:8">
      <c r="A165">
        <v>163</v>
      </c>
      <c r="B165">
        <v>-24.6</v>
      </c>
      <c r="C165">
        <v>349</v>
      </c>
      <c r="D165">
        <v>-10.1</v>
      </c>
      <c r="E165">
        <v>535</v>
      </c>
      <c r="F165">
        <v>19.8</v>
      </c>
      <c r="G165">
        <v>721</v>
      </c>
      <c r="H165">
        <v>4.5</v>
      </c>
    </row>
    <row r="166" spans="1:8">
      <c r="A166">
        <v>164</v>
      </c>
      <c r="B166">
        <v>-3.4</v>
      </c>
      <c r="C166">
        <v>350</v>
      </c>
      <c r="D166">
        <v>-29.7</v>
      </c>
      <c r="E166">
        <v>536</v>
      </c>
      <c r="F166">
        <v>39.9</v>
      </c>
      <c r="G166">
        <v>722</v>
      </c>
      <c r="H166">
        <v>-8.4</v>
      </c>
    </row>
    <row r="167" spans="1:8">
      <c r="A167">
        <v>165</v>
      </c>
      <c r="B167">
        <v>36.1</v>
      </c>
      <c r="C167">
        <v>351</v>
      </c>
      <c r="D167">
        <v>23.3</v>
      </c>
      <c r="E167">
        <v>537</v>
      </c>
      <c r="F167">
        <v>5.5</v>
      </c>
      <c r="G167">
        <v>723</v>
      </c>
      <c r="H167">
        <v>11.7</v>
      </c>
    </row>
    <row r="168" spans="1:8">
      <c r="A168">
        <v>166</v>
      </c>
      <c r="B168">
        <v>4.7</v>
      </c>
      <c r="C168">
        <v>352</v>
      </c>
      <c r="D168">
        <v>31.3</v>
      </c>
      <c r="E168">
        <v>538</v>
      </c>
      <c r="F168">
        <v>19.7</v>
      </c>
      <c r="G168">
        <v>724</v>
      </c>
      <c r="H168">
        <v>5</v>
      </c>
    </row>
    <row r="169" spans="1:8">
      <c r="A169">
        <v>167</v>
      </c>
      <c r="B169">
        <v>32.6</v>
      </c>
      <c r="C169">
        <v>353</v>
      </c>
      <c r="D169">
        <v>-13.8</v>
      </c>
      <c r="E169">
        <v>539</v>
      </c>
      <c r="F169">
        <v>-13.9</v>
      </c>
      <c r="G169">
        <v>725</v>
      </c>
      <c r="H169">
        <v>17.100000000000001</v>
      </c>
    </row>
    <row r="170" spans="1:8">
      <c r="A170">
        <v>168</v>
      </c>
      <c r="B170">
        <v>-18</v>
      </c>
      <c r="C170">
        <v>354</v>
      </c>
      <c r="D170">
        <v>16.600000000000001</v>
      </c>
      <c r="E170">
        <v>540</v>
      </c>
      <c r="F170">
        <v>-5.4</v>
      </c>
      <c r="G170">
        <v>726</v>
      </c>
      <c r="H170">
        <v>-0.8</v>
      </c>
    </row>
    <row r="171" spans="1:8">
      <c r="A171">
        <v>169</v>
      </c>
      <c r="B171">
        <v>-10</v>
      </c>
      <c r="C171">
        <v>355</v>
      </c>
      <c r="D171">
        <v>10.3</v>
      </c>
      <c r="E171">
        <v>541</v>
      </c>
      <c r="F171">
        <v>-6.8</v>
      </c>
      <c r="G171">
        <v>727</v>
      </c>
      <c r="H171">
        <v>1.9</v>
      </c>
    </row>
    <row r="172" spans="1:8">
      <c r="A172">
        <v>170</v>
      </c>
      <c r="B172">
        <v>34.700000000000003</v>
      </c>
      <c r="C172">
        <v>356</v>
      </c>
      <c r="D172">
        <v>7.1</v>
      </c>
      <c r="E172">
        <v>542</v>
      </c>
      <c r="F172">
        <v>26.5</v>
      </c>
      <c r="G172">
        <v>728</v>
      </c>
      <c r="H172">
        <v>12.4</v>
      </c>
    </row>
    <row r="173" spans="1:8">
      <c r="A173">
        <v>171</v>
      </c>
      <c r="B173">
        <v>-27.2</v>
      </c>
      <c r="C173">
        <v>357</v>
      </c>
      <c r="D173">
        <v>17.8</v>
      </c>
      <c r="E173">
        <v>543</v>
      </c>
      <c r="F173">
        <v>-9</v>
      </c>
      <c r="G173">
        <v>729</v>
      </c>
      <c r="H173">
        <v>0.6</v>
      </c>
    </row>
    <row r="174" spans="1:8">
      <c r="A174">
        <v>172</v>
      </c>
      <c r="B174">
        <v>-26.1</v>
      </c>
      <c r="C174">
        <v>358</v>
      </c>
      <c r="D174">
        <v>14.4</v>
      </c>
      <c r="E174">
        <v>544</v>
      </c>
      <c r="F174">
        <v>0.5</v>
      </c>
      <c r="G174">
        <v>730</v>
      </c>
      <c r="H174">
        <v>21.4</v>
      </c>
    </row>
    <row r="175" spans="1:8">
      <c r="A175">
        <v>173</v>
      </c>
      <c r="B175">
        <v>39.9</v>
      </c>
      <c r="C175">
        <v>359</v>
      </c>
      <c r="D175">
        <v>4.0999999999999996</v>
      </c>
      <c r="E175">
        <v>545</v>
      </c>
      <c r="F175">
        <v>12.1</v>
      </c>
      <c r="G175">
        <v>731</v>
      </c>
      <c r="H175">
        <v>-12.4</v>
      </c>
    </row>
    <row r="176" spans="1:8">
      <c r="A176">
        <v>174</v>
      </c>
      <c r="B176">
        <v>19.7</v>
      </c>
      <c r="C176">
        <v>360</v>
      </c>
      <c r="D176">
        <v>-15.2</v>
      </c>
      <c r="E176">
        <v>546</v>
      </c>
      <c r="F176">
        <v>-8.6</v>
      </c>
      <c r="G176">
        <v>732</v>
      </c>
      <c r="H176">
        <v>9.1999999999999993</v>
      </c>
    </row>
    <row r="177" spans="1:8">
      <c r="A177">
        <v>175</v>
      </c>
      <c r="B177">
        <v>4.7</v>
      </c>
      <c r="C177">
        <v>361</v>
      </c>
      <c r="D177">
        <v>29.8</v>
      </c>
      <c r="E177">
        <v>547</v>
      </c>
      <c r="F177">
        <v>-18.600000000000001</v>
      </c>
      <c r="G177">
        <v>733</v>
      </c>
      <c r="H177">
        <v>-3</v>
      </c>
    </row>
    <row r="178" spans="1:8">
      <c r="A178">
        <v>176</v>
      </c>
      <c r="B178">
        <v>1.3</v>
      </c>
      <c r="C178">
        <v>362</v>
      </c>
      <c r="D178">
        <v>-20.5</v>
      </c>
      <c r="E178">
        <v>548</v>
      </c>
      <c r="F178">
        <v>-4.4000000000000004</v>
      </c>
      <c r="G178">
        <v>734</v>
      </c>
      <c r="H178">
        <v>8.6999999999999993</v>
      </c>
    </row>
    <row r="179" spans="1:8">
      <c r="A179">
        <v>177</v>
      </c>
      <c r="B179">
        <v>22.3</v>
      </c>
      <c r="C179">
        <v>363</v>
      </c>
      <c r="D179">
        <v>-2.1</v>
      </c>
      <c r="E179">
        <v>549</v>
      </c>
      <c r="F179">
        <v>-14.3</v>
      </c>
      <c r="G179">
        <v>735</v>
      </c>
      <c r="H179">
        <v>-16.7</v>
      </c>
    </row>
    <row r="180" spans="1:8">
      <c r="A180">
        <v>178</v>
      </c>
      <c r="B180">
        <v>13</v>
      </c>
      <c r="C180">
        <v>364</v>
      </c>
      <c r="D180">
        <v>-7.3</v>
      </c>
      <c r="E180">
        <v>550</v>
      </c>
      <c r="F180">
        <v>-10.9</v>
      </c>
      <c r="G180">
        <v>736</v>
      </c>
      <c r="H180">
        <v>16</v>
      </c>
    </row>
    <row r="181" spans="1:8">
      <c r="A181">
        <v>179</v>
      </c>
      <c r="B181">
        <v>15</v>
      </c>
      <c r="C181">
        <v>365</v>
      </c>
      <c r="D181">
        <v>19.8</v>
      </c>
      <c r="E181">
        <v>551</v>
      </c>
      <c r="F181">
        <v>17.5</v>
      </c>
      <c r="G181">
        <v>737</v>
      </c>
      <c r="H181">
        <v>-48.1</v>
      </c>
    </row>
    <row r="182" spans="1:8">
      <c r="A182">
        <v>180</v>
      </c>
      <c r="B182">
        <v>28.7</v>
      </c>
      <c r="C182">
        <v>366</v>
      </c>
      <c r="D182">
        <v>23.6</v>
      </c>
      <c r="E182">
        <v>552</v>
      </c>
      <c r="F182">
        <v>-2.2000000000000002</v>
      </c>
      <c r="G182">
        <v>738</v>
      </c>
      <c r="H182">
        <v>-13.8</v>
      </c>
    </row>
    <row r="183" spans="1:8">
      <c r="A183">
        <v>181</v>
      </c>
      <c r="B183">
        <v>25.7</v>
      </c>
      <c r="C183">
        <v>367</v>
      </c>
      <c r="D183">
        <v>25.8</v>
      </c>
      <c r="E183">
        <v>553</v>
      </c>
      <c r="F183">
        <v>16.399999999999999</v>
      </c>
      <c r="G183">
        <v>739</v>
      </c>
      <c r="H183">
        <v>43.3</v>
      </c>
    </row>
    <row r="184" spans="1:8">
      <c r="A184">
        <v>182</v>
      </c>
      <c r="B184">
        <v>4.8</v>
      </c>
      <c r="C184">
        <v>368</v>
      </c>
      <c r="D184">
        <v>28.1</v>
      </c>
      <c r="E184">
        <v>554</v>
      </c>
      <c r="F184">
        <v>-27.2</v>
      </c>
      <c r="G184">
        <v>740</v>
      </c>
      <c r="H184">
        <v>33.1</v>
      </c>
    </row>
    <row r="185" spans="1:8">
      <c r="A185">
        <v>183</v>
      </c>
      <c r="B185">
        <v>-27</v>
      </c>
      <c r="C185">
        <v>369</v>
      </c>
      <c r="D185">
        <v>-28.5</v>
      </c>
      <c r="E185">
        <v>555</v>
      </c>
      <c r="F185">
        <v>-1.9</v>
      </c>
      <c r="G185">
        <v>741</v>
      </c>
      <c r="H185">
        <v>1.4</v>
      </c>
    </row>
    <row r="186" spans="1:8">
      <c r="A186">
        <v>184</v>
      </c>
      <c r="B186">
        <v>27.4</v>
      </c>
      <c r="C186">
        <v>370</v>
      </c>
      <c r="D186">
        <v>7.2</v>
      </c>
      <c r="E186">
        <v>556</v>
      </c>
      <c r="F186">
        <v>-24.9</v>
      </c>
      <c r="G186">
        <v>742</v>
      </c>
      <c r="H186">
        <v>-20.2</v>
      </c>
    </row>
    <row r="187" spans="1:8">
      <c r="A187">
        <v>185</v>
      </c>
      <c r="B187">
        <v>-20</v>
      </c>
      <c r="C187">
        <v>371</v>
      </c>
      <c r="D187">
        <v>0.2</v>
      </c>
      <c r="E187">
        <v>557</v>
      </c>
      <c r="F187">
        <v>-0.3</v>
      </c>
      <c r="G187">
        <v>743</v>
      </c>
      <c r="H187">
        <v>-11.7</v>
      </c>
    </row>
    <row r="188" spans="1:8">
      <c r="A188">
        <v>186</v>
      </c>
      <c r="B188">
        <v>-49.9</v>
      </c>
      <c r="C188">
        <v>372</v>
      </c>
      <c r="D188">
        <v>-12.6</v>
      </c>
      <c r="E188">
        <v>558</v>
      </c>
      <c r="F188">
        <v>-23.5</v>
      </c>
      <c r="G188">
        <v>744</v>
      </c>
      <c r="H188">
        <v>-13.7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63C6-0113-4F6D-AA1B-1A71840BE52C}">
  <dimension ref="A1:E18"/>
  <sheetViews>
    <sheetView workbookViewId="0">
      <selection activeCell="R18" sqref="R18"/>
    </sheetView>
  </sheetViews>
  <sheetFormatPr defaultRowHeight="16.2"/>
  <sheetData>
    <row r="1" spans="1:5">
      <c r="A1">
        <v>1</v>
      </c>
      <c r="C1">
        <f>D1/E1</f>
        <v>0.49985101311084623</v>
      </c>
      <c r="D1">
        <v>-6.7099999999999998E-3</v>
      </c>
      <c r="E1">
        <v>-1.3424E-2</v>
      </c>
    </row>
    <row r="2" spans="1:5" ht="16.8" thickBot="1">
      <c r="A2">
        <v>2</v>
      </c>
      <c r="C2">
        <f>D2/E2</f>
        <v>0.85648734177215191</v>
      </c>
      <c r="D2">
        <v>5.4130000000000003E-3</v>
      </c>
      <c r="E2">
        <v>6.3200000000000001E-3</v>
      </c>
    </row>
    <row r="3" spans="1:5" ht="16.8" thickBot="1">
      <c r="A3">
        <v>3</v>
      </c>
      <c r="B3" s="2">
        <v>-0.1862</v>
      </c>
      <c r="C3">
        <f>B3*-1</f>
        <v>0.1862</v>
      </c>
    </row>
    <row r="4" spans="1:5" ht="16.8" thickBot="1">
      <c r="A4">
        <v>4</v>
      </c>
      <c r="B4" s="3">
        <v>-0.17816000000000001</v>
      </c>
      <c r="C4">
        <f t="shared" ref="C4:C18" si="0">B4*-1</f>
        <v>0.17816000000000001</v>
      </c>
    </row>
    <row r="5" spans="1:5" ht="16.8" thickBot="1">
      <c r="A5">
        <v>5</v>
      </c>
      <c r="B5" s="3">
        <v>-0.172125</v>
      </c>
      <c r="C5">
        <f t="shared" si="0"/>
        <v>0.172125</v>
      </c>
    </row>
    <row r="6" spans="1:5" ht="16.8" thickBot="1">
      <c r="A6">
        <v>6</v>
      </c>
      <c r="B6" s="3">
        <v>-0.166632</v>
      </c>
      <c r="C6">
        <f t="shared" si="0"/>
        <v>0.166632</v>
      </c>
    </row>
    <row r="7" spans="1:5" ht="16.8" thickBot="1">
      <c r="A7">
        <v>7</v>
      </c>
      <c r="B7" s="3">
        <v>-0.54410000000000003</v>
      </c>
      <c r="C7">
        <f t="shared" si="0"/>
        <v>0.54410000000000003</v>
      </c>
    </row>
    <row r="8" spans="1:5" ht="16.8" thickBot="1">
      <c r="A8">
        <v>8</v>
      </c>
      <c r="B8" s="3">
        <v>-0.59289999999999998</v>
      </c>
      <c r="C8">
        <f t="shared" si="0"/>
        <v>0.59289999999999998</v>
      </c>
    </row>
    <row r="9" spans="1:5" ht="16.8" thickBot="1">
      <c r="A9">
        <v>9</v>
      </c>
      <c r="B9" s="3">
        <v>-0.62949999999999995</v>
      </c>
      <c r="C9">
        <f t="shared" si="0"/>
        <v>0.62949999999999995</v>
      </c>
    </row>
    <row r="10" spans="1:5" ht="16.8" thickBot="1">
      <c r="A10">
        <v>10</v>
      </c>
      <c r="B10" s="3">
        <v>-0.66243649999999998</v>
      </c>
      <c r="C10">
        <f t="shared" si="0"/>
        <v>0.66243649999999998</v>
      </c>
    </row>
    <row r="11" spans="1:5" ht="16.8" thickBot="1">
      <c r="A11">
        <v>11</v>
      </c>
      <c r="B11" s="3">
        <v>-0.95765</v>
      </c>
      <c r="C11">
        <f t="shared" si="0"/>
        <v>0.95765</v>
      </c>
    </row>
    <row r="12" spans="1:5" ht="16.8" thickBot="1">
      <c r="A12">
        <v>12</v>
      </c>
      <c r="B12" s="3">
        <v>-0.97328000000000003</v>
      </c>
      <c r="C12">
        <f t="shared" si="0"/>
        <v>0.97328000000000003</v>
      </c>
    </row>
    <row r="13" spans="1:5" ht="16.8" thickBot="1">
      <c r="A13">
        <v>13</v>
      </c>
      <c r="B13" s="3">
        <v>-0.98499999999999999</v>
      </c>
      <c r="C13">
        <f t="shared" si="0"/>
        <v>0.98499999999999999</v>
      </c>
    </row>
    <row r="14" spans="1:5" ht="16.8" thickBot="1">
      <c r="A14">
        <v>14</v>
      </c>
      <c r="B14" s="3">
        <v>-0.99555000000000005</v>
      </c>
      <c r="C14">
        <f t="shared" si="0"/>
        <v>0.99555000000000005</v>
      </c>
    </row>
    <row r="15" spans="1:5" ht="16.8" thickBot="1">
      <c r="A15">
        <v>15</v>
      </c>
      <c r="B15" s="3">
        <v>-0.97430000000000005</v>
      </c>
      <c r="C15">
        <f t="shared" si="0"/>
        <v>0.97430000000000005</v>
      </c>
    </row>
    <row r="16" spans="1:5" ht="16.8" thickBot="1">
      <c r="A16">
        <v>16</v>
      </c>
      <c r="B16" s="3">
        <v>-0.98326999999999998</v>
      </c>
      <c r="C16">
        <f t="shared" si="0"/>
        <v>0.98326999999999998</v>
      </c>
    </row>
    <row r="17" spans="1:3" ht="16.8" thickBot="1">
      <c r="A17">
        <v>17</v>
      </c>
      <c r="B17" s="3">
        <v>-0.989985</v>
      </c>
      <c r="C17">
        <f t="shared" si="0"/>
        <v>0.989985</v>
      </c>
    </row>
    <row r="18" spans="1:3" ht="16.8" thickBot="1">
      <c r="A18">
        <v>18</v>
      </c>
      <c r="B18" s="3">
        <v>-0.99603450000000004</v>
      </c>
      <c r="C18">
        <f t="shared" si="0"/>
        <v>0.99603450000000004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8151-43C2-4119-ABC9-783E15C01B7E}">
  <dimension ref="A1:G5"/>
  <sheetViews>
    <sheetView workbookViewId="0">
      <selection activeCell="D11" sqref="D11"/>
    </sheetView>
  </sheetViews>
  <sheetFormatPr defaultRowHeight="16.2"/>
  <cols>
    <col min="1" max="1" width="14.77734375" customWidth="1"/>
    <col min="2" max="2" width="12.33203125" customWidth="1"/>
    <col min="3" max="3" width="9.109375" bestFit="1" customWidth="1"/>
    <col min="4" max="4" width="12.33203125" bestFit="1" customWidth="1"/>
    <col min="5" max="7" width="9.109375" bestFit="1" customWidth="1"/>
  </cols>
  <sheetData>
    <row r="1" spans="1:7">
      <c r="B1" t="s">
        <v>30</v>
      </c>
      <c r="C1" s="1" t="s">
        <v>31</v>
      </c>
      <c r="D1" t="s">
        <v>32</v>
      </c>
      <c r="E1" s="1" t="s">
        <v>33</v>
      </c>
      <c r="F1" t="s">
        <v>34</v>
      </c>
      <c r="G1" s="1" t="s">
        <v>35</v>
      </c>
    </row>
    <row r="2" spans="1:7">
      <c r="A2" s="4" t="s">
        <v>29</v>
      </c>
      <c r="B2" s="6">
        <v>184116.12599999999</v>
      </c>
      <c r="C2" s="6"/>
      <c r="D2" s="6">
        <v>2526216.1140000001</v>
      </c>
      <c r="E2" s="6"/>
      <c r="F2" s="6">
        <v>330</v>
      </c>
      <c r="G2" s="6"/>
    </row>
    <row r="3" spans="1:7">
      <c r="A3" s="5" t="s">
        <v>36</v>
      </c>
      <c r="B3" s="6">
        <v>184116.136</v>
      </c>
      <c r="C3" s="6">
        <f>B2-B3</f>
        <v>-1.0000000009313226E-2</v>
      </c>
      <c r="D3" s="6">
        <v>2526216.1230000001</v>
      </c>
      <c r="E3" s="6">
        <f>D2-D3</f>
        <v>-9.0000000782310963E-3</v>
      </c>
      <c r="F3" s="6">
        <v>329.99299999999999</v>
      </c>
      <c r="G3" s="6">
        <f>F2-F3</f>
        <v>7.0000000000050022E-3</v>
      </c>
    </row>
    <row r="4" spans="1:7">
      <c r="A4" s="5" t="s">
        <v>37</v>
      </c>
      <c r="B4" s="6">
        <v>184116.13500000001</v>
      </c>
      <c r="C4" s="6">
        <f>B2-B4</f>
        <v>-9.0000000200234354E-3</v>
      </c>
      <c r="D4" s="6">
        <v>2526216.1290000002</v>
      </c>
      <c r="E4" s="6">
        <f>D2-D4</f>
        <v>-1.500000013038516E-2</v>
      </c>
      <c r="F4" s="6">
        <v>330.01</v>
      </c>
      <c r="G4" s="6">
        <f>F2-F4</f>
        <v>-9.9999999999909051E-3</v>
      </c>
    </row>
    <row r="5" spans="1:7">
      <c r="A5" s="5" t="s">
        <v>38</v>
      </c>
      <c r="B5" s="6">
        <v>184116.12899999999</v>
      </c>
      <c r="C5" s="6">
        <f>B2-B5</f>
        <v>-2.9999999969732016E-3</v>
      </c>
      <c r="D5" s="6">
        <v>2526216.1069999998</v>
      </c>
      <c r="E5" s="6">
        <f>D2-D5</f>
        <v>7.0000002160668373E-3</v>
      </c>
      <c r="F5" s="6">
        <v>329.99200000000002</v>
      </c>
      <c r="G5" s="6">
        <f>F2-F5</f>
        <v>7.9999999999813554E-3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83E4-95CE-433A-8297-F5EAE91CFA8F}">
  <dimension ref="A1:D4"/>
  <sheetViews>
    <sheetView workbookViewId="0">
      <selection sqref="A1:D4"/>
    </sheetView>
  </sheetViews>
  <sheetFormatPr defaultRowHeight="16.2"/>
  <cols>
    <col min="1" max="1" width="11.33203125" customWidth="1"/>
  </cols>
  <sheetData>
    <row r="1" spans="1:4" ht="92.4">
      <c r="B1" s="1" t="s">
        <v>39</v>
      </c>
      <c r="C1" s="1" t="s">
        <v>40</v>
      </c>
      <c r="D1" s="1" t="s">
        <v>41</v>
      </c>
    </row>
    <row r="2" spans="1:4">
      <c r="A2" s="5" t="s">
        <v>36</v>
      </c>
      <c r="B2" s="6">
        <v>4.6959999999999997E-3</v>
      </c>
      <c r="C2" s="6">
        <v>4.7010000000000003E-3</v>
      </c>
      <c r="D2" s="6">
        <v>5.2459999999999998E-3</v>
      </c>
    </row>
    <row r="3" spans="1:4">
      <c r="A3" s="5" t="s">
        <v>37</v>
      </c>
      <c r="B3" s="6">
        <v>9.0170000000000007E-3</v>
      </c>
      <c r="C3" s="6">
        <v>9.0270000000000003E-3</v>
      </c>
      <c r="D3" s="6">
        <v>1.0071E-2</v>
      </c>
    </row>
    <row r="4" spans="1:4">
      <c r="A4" s="5" t="s">
        <v>38</v>
      </c>
      <c r="B4" s="6">
        <v>0.10983</v>
      </c>
      <c r="C4" s="6">
        <v>0.17346200000000001</v>
      </c>
      <c r="D4" s="6">
        <v>1.1178300000000001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FFE4-DAC7-43CE-B60E-6A6E0473B030}">
  <dimension ref="A1:I26"/>
  <sheetViews>
    <sheetView workbookViewId="0">
      <selection activeCell="H1" sqref="H1"/>
    </sheetView>
  </sheetViews>
  <sheetFormatPr defaultRowHeight="16.2"/>
  <sheetData>
    <row r="1" spans="1:9">
      <c r="A1" t="s">
        <v>42</v>
      </c>
      <c r="B1" t="s">
        <v>43</v>
      </c>
      <c r="C1" t="s">
        <v>44</v>
      </c>
      <c r="D1" t="s">
        <v>51</v>
      </c>
      <c r="E1" t="s">
        <v>52</v>
      </c>
      <c r="F1" t="s">
        <v>45</v>
      </c>
      <c r="H1" t="s">
        <v>57</v>
      </c>
      <c r="I1" t="s">
        <v>46</v>
      </c>
    </row>
    <row r="2" spans="1:9">
      <c r="A2" t="s">
        <v>47</v>
      </c>
      <c r="B2" t="s">
        <v>48</v>
      </c>
      <c r="C2" t="s">
        <v>49</v>
      </c>
      <c r="D2" t="s">
        <v>50</v>
      </c>
      <c r="E2" t="s">
        <v>53</v>
      </c>
      <c r="F2" t="s">
        <v>49</v>
      </c>
      <c r="G2" t="s">
        <v>54</v>
      </c>
      <c r="H2" t="s">
        <v>48</v>
      </c>
      <c r="I2" t="s">
        <v>50</v>
      </c>
    </row>
    <row r="3" spans="1:9">
      <c r="A3" t="s">
        <v>2</v>
      </c>
      <c r="B3">
        <v>29.866</v>
      </c>
      <c r="C3">
        <v>29.135999999999999</v>
      </c>
      <c r="D3">
        <v>1.0047E-2</v>
      </c>
      <c r="E3" t="s">
        <v>55</v>
      </c>
      <c r="F3">
        <v>1.0075000000000001E-2</v>
      </c>
      <c r="G3" t="s">
        <v>55</v>
      </c>
      <c r="H3">
        <v>3.408E-3</v>
      </c>
      <c r="I3">
        <v>4.5430000000000002E-3</v>
      </c>
    </row>
    <row r="4" spans="1:9">
      <c r="A4" t="s">
        <v>3</v>
      </c>
      <c r="B4">
        <v>0.111</v>
      </c>
      <c r="C4">
        <v>29.155000000000001</v>
      </c>
      <c r="D4">
        <v>-2.5623E-2</v>
      </c>
      <c r="E4" t="s">
        <v>55</v>
      </c>
      <c r="F4">
        <v>1.3782000000000001E-2</v>
      </c>
      <c r="G4" t="s">
        <v>55</v>
      </c>
      <c r="H4">
        <v>-3.6365000000000001E-2</v>
      </c>
      <c r="I4">
        <v>8.2550000000000002E-3</v>
      </c>
    </row>
    <row r="5" spans="1:9">
      <c r="A5" t="s">
        <v>4</v>
      </c>
      <c r="B5">
        <v>-29.672000000000001</v>
      </c>
      <c r="C5">
        <v>29.196000000000002</v>
      </c>
      <c r="D5">
        <v>-5.4320000000000002E-3</v>
      </c>
      <c r="E5" t="s">
        <v>55</v>
      </c>
      <c r="F5">
        <v>-4.3350000000000003E-3</v>
      </c>
      <c r="G5" t="s">
        <v>55</v>
      </c>
      <c r="H5">
        <v>-2.027E-2</v>
      </c>
      <c r="I5">
        <v>-9.8569999999999994E-3</v>
      </c>
    </row>
    <row r="6" spans="1:9">
      <c r="A6" t="s">
        <v>5</v>
      </c>
      <c r="B6">
        <v>39.649000000000001</v>
      </c>
      <c r="C6">
        <v>39.582000000000001</v>
      </c>
      <c r="D6">
        <v>7.646E-3</v>
      </c>
      <c r="E6" t="s">
        <v>55</v>
      </c>
      <c r="F6">
        <v>-1.1625E-2</v>
      </c>
      <c r="G6" t="s">
        <v>55</v>
      </c>
      <c r="H6">
        <v>3.408E-3</v>
      </c>
      <c r="I6">
        <v>4.5430000000000002E-3</v>
      </c>
    </row>
    <row r="7" spans="1:9">
      <c r="A7" t="s">
        <v>6</v>
      </c>
      <c r="B7">
        <v>-9.8000000000000004E-2</v>
      </c>
      <c r="C7">
        <v>39.734999999999999</v>
      </c>
      <c r="D7">
        <v>-2.6693000000000001E-2</v>
      </c>
      <c r="E7" t="s">
        <v>55</v>
      </c>
      <c r="F7">
        <v>-7.9799999999999992E-3</v>
      </c>
      <c r="G7" t="s">
        <v>55</v>
      </c>
      <c r="H7">
        <v>-3.6365000000000001E-2</v>
      </c>
      <c r="I7">
        <v>8.2550000000000002E-3</v>
      </c>
    </row>
    <row r="8" spans="1:9">
      <c r="A8" t="s">
        <v>7</v>
      </c>
      <c r="B8">
        <v>-40.128999999999998</v>
      </c>
      <c r="C8">
        <v>39.911000000000001</v>
      </c>
      <c r="D8">
        <v>-5.1019999999999998E-3</v>
      </c>
      <c r="E8" t="s">
        <v>55</v>
      </c>
      <c r="F8">
        <v>-2.6159999999999999E-2</v>
      </c>
      <c r="G8" t="s">
        <v>55</v>
      </c>
      <c r="H8">
        <v>-2.027E-2</v>
      </c>
      <c r="I8">
        <v>-9.8569999999999994E-3</v>
      </c>
    </row>
    <row r="9" spans="1:9">
      <c r="A9" t="s">
        <v>8</v>
      </c>
      <c r="B9">
        <v>6.3680000000000003</v>
      </c>
      <c r="C9">
        <v>5.8879999999999999</v>
      </c>
      <c r="D9">
        <v>5.4130000000000003E-3</v>
      </c>
      <c r="E9" t="s">
        <v>55</v>
      </c>
      <c r="F9">
        <v>6.3200000000000001E-3</v>
      </c>
      <c r="G9" t="s">
        <v>55</v>
      </c>
      <c r="H9">
        <v>3.408E-3</v>
      </c>
      <c r="I9">
        <v>4.5430000000000002E-3</v>
      </c>
    </row>
    <row r="10" spans="1:9">
      <c r="A10" t="s">
        <v>9</v>
      </c>
      <c r="B10">
        <v>0.40400000000000003</v>
      </c>
      <c r="C10">
        <v>5.8920000000000003</v>
      </c>
      <c r="D10">
        <v>-3.4199E-2</v>
      </c>
      <c r="E10" t="s">
        <v>55</v>
      </c>
      <c r="F10">
        <v>1.0031E-2</v>
      </c>
      <c r="G10" t="s">
        <v>55</v>
      </c>
      <c r="H10">
        <v>-3.6365000000000001E-2</v>
      </c>
      <c r="I10">
        <v>8.2550000000000002E-3</v>
      </c>
    </row>
    <row r="11" spans="1:9">
      <c r="A11" t="s">
        <v>10</v>
      </c>
      <c r="B11">
        <v>-5.6059999999999999</v>
      </c>
      <c r="C11">
        <v>5.9180000000000001</v>
      </c>
      <c r="D11">
        <v>-1.7943000000000001E-2</v>
      </c>
      <c r="E11" t="s">
        <v>55</v>
      </c>
      <c r="F11">
        <v>-8.0829999999999999E-3</v>
      </c>
      <c r="G11" t="s">
        <v>55</v>
      </c>
      <c r="H11">
        <v>-2.027E-2</v>
      </c>
      <c r="I11">
        <v>-9.8569999999999994E-3</v>
      </c>
    </row>
    <row r="12" spans="1:9">
      <c r="A12" t="s">
        <v>11</v>
      </c>
      <c r="B12">
        <v>7.8380000000000001</v>
      </c>
      <c r="C12">
        <v>7.492</v>
      </c>
      <c r="D12">
        <v>5.1229999999999999E-3</v>
      </c>
      <c r="E12" t="s">
        <v>55</v>
      </c>
      <c r="F12">
        <v>2.1619999999999999E-3</v>
      </c>
      <c r="G12" t="s">
        <v>55</v>
      </c>
      <c r="H12">
        <v>3.408E-3</v>
      </c>
      <c r="I12">
        <v>4.5430000000000002E-3</v>
      </c>
    </row>
    <row r="13" spans="1:9">
      <c r="A13" t="s">
        <v>12</v>
      </c>
      <c r="B13">
        <v>-0.106</v>
      </c>
      <c r="C13">
        <v>7.5209999999999999</v>
      </c>
      <c r="D13">
        <v>-3.4433999999999999E-2</v>
      </c>
      <c r="E13" t="s">
        <v>55</v>
      </c>
      <c r="F13">
        <v>5.8719999999999996E-3</v>
      </c>
      <c r="G13" t="s">
        <v>55</v>
      </c>
      <c r="H13">
        <v>-3.6365000000000001E-2</v>
      </c>
      <c r="I13">
        <v>8.2550000000000002E-3</v>
      </c>
    </row>
    <row r="14" spans="1:9">
      <c r="A14" t="s">
        <v>13</v>
      </c>
      <c r="B14">
        <v>-8.1150000000000002</v>
      </c>
      <c r="C14">
        <v>7.5730000000000004</v>
      </c>
      <c r="D14">
        <v>-1.8121000000000002E-2</v>
      </c>
      <c r="E14" t="s">
        <v>55</v>
      </c>
      <c r="F14">
        <v>-1.2241999999999999E-2</v>
      </c>
      <c r="G14" t="s">
        <v>55</v>
      </c>
      <c r="H14">
        <v>-2.027E-2</v>
      </c>
      <c r="I14">
        <v>-9.8569999999999994E-3</v>
      </c>
    </row>
    <row r="15" spans="1:9">
      <c r="A15" t="s">
        <v>14</v>
      </c>
      <c r="B15">
        <v>30.041</v>
      </c>
      <c r="C15">
        <v>-30.367000000000001</v>
      </c>
      <c r="D15">
        <v>1.0163E-2</v>
      </c>
      <c r="E15" t="s">
        <v>55</v>
      </c>
      <c r="F15">
        <v>1.8398000000000001E-2</v>
      </c>
      <c r="G15" t="s">
        <v>55</v>
      </c>
      <c r="H15">
        <v>3.408E-3</v>
      </c>
      <c r="I15">
        <v>4.5430000000000002E-3</v>
      </c>
    </row>
    <row r="16" spans="1:9">
      <c r="A16" t="s">
        <v>15</v>
      </c>
      <c r="B16">
        <v>-5.0000000000000001E-3</v>
      </c>
      <c r="C16">
        <v>-30.254000000000001</v>
      </c>
      <c r="D16">
        <v>-2.5482999999999999E-2</v>
      </c>
      <c r="E16" t="s">
        <v>55</v>
      </c>
      <c r="F16">
        <v>2.2085E-2</v>
      </c>
      <c r="G16" t="s">
        <v>55</v>
      </c>
      <c r="H16">
        <v>-3.6365000000000001E-2</v>
      </c>
      <c r="I16">
        <v>8.2550000000000002E-3</v>
      </c>
    </row>
    <row r="17" spans="1:9">
      <c r="A17" t="s">
        <v>16</v>
      </c>
      <c r="B17">
        <v>-30.065999999999999</v>
      </c>
      <c r="C17">
        <v>-30.119</v>
      </c>
      <c r="D17">
        <v>-5.2709999999999996E-3</v>
      </c>
      <c r="E17" t="s">
        <v>55</v>
      </c>
      <c r="F17">
        <v>3.9480000000000001E-3</v>
      </c>
      <c r="G17" t="s">
        <v>55</v>
      </c>
      <c r="H17">
        <v>-2.027E-2</v>
      </c>
      <c r="I17">
        <v>-9.8569999999999994E-3</v>
      </c>
    </row>
    <row r="18" spans="1:9">
      <c r="A18" t="s">
        <v>17</v>
      </c>
      <c r="B18">
        <v>39.502000000000002</v>
      </c>
      <c r="C18">
        <v>-40.009</v>
      </c>
      <c r="D18">
        <v>7.6290000000000004E-3</v>
      </c>
      <c r="E18" t="s">
        <v>55</v>
      </c>
      <c r="F18">
        <v>-7.7899999999999996E-4</v>
      </c>
      <c r="G18" t="s">
        <v>55</v>
      </c>
      <c r="H18">
        <v>3.408E-3</v>
      </c>
      <c r="I18">
        <v>4.5430000000000002E-3</v>
      </c>
    </row>
    <row r="19" spans="1:9">
      <c r="A19" t="s">
        <v>18</v>
      </c>
      <c r="B19">
        <v>-0.32200000000000001</v>
      </c>
      <c r="C19">
        <v>-40.21</v>
      </c>
      <c r="D19">
        <v>-2.6634000000000001E-2</v>
      </c>
      <c r="E19" t="s">
        <v>55</v>
      </c>
      <c r="F19">
        <v>2.931E-3</v>
      </c>
      <c r="G19" t="s">
        <v>55</v>
      </c>
      <c r="H19">
        <v>-3.6365000000000001E-2</v>
      </c>
      <c r="I19">
        <v>8.2550000000000002E-3</v>
      </c>
    </row>
    <row r="20" spans="1:9">
      <c r="A20" t="s">
        <v>19</v>
      </c>
      <c r="B20">
        <v>-40.637999999999998</v>
      </c>
      <c r="C20">
        <v>-40.390999999999998</v>
      </c>
      <c r="D20">
        <v>-4.908E-3</v>
      </c>
      <c r="E20" t="s">
        <v>55</v>
      </c>
      <c r="F20">
        <v>-1.5181999999999999E-2</v>
      </c>
      <c r="G20" t="s">
        <v>55</v>
      </c>
      <c r="H20">
        <v>-2.027E-2</v>
      </c>
      <c r="I20">
        <v>-9.8569999999999994E-3</v>
      </c>
    </row>
    <row r="21" spans="1:9">
      <c r="A21" t="s">
        <v>20</v>
      </c>
      <c r="B21">
        <v>6.0940000000000003</v>
      </c>
      <c r="C21">
        <v>-6.08</v>
      </c>
      <c r="D21">
        <v>5.4099999999999999E-3</v>
      </c>
      <c r="E21" t="s">
        <v>55</v>
      </c>
      <c r="F21">
        <v>6.6490000000000004E-3</v>
      </c>
      <c r="G21" t="s">
        <v>55</v>
      </c>
      <c r="H21">
        <v>3.408E-3</v>
      </c>
      <c r="I21">
        <v>4.5430000000000002E-3</v>
      </c>
    </row>
    <row r="22" spans="1:9">
      <c r="A22" t="s">
        <v>21</v>
      </c>
      <c r="B22">
        <v>0.13100000000000001</v>
      </c>
      <c r="C22">
        <v>-6.077</v>
      </c>
      <c r="D22">
        <v>-3.4200000000000001E-2</v>
      </c>
      <c r="E22" t="s">
        <v>55</v>
      </c>
      <c r="F22">
        <v>1.0359999999999999E-2</v>
      </c>
      <c r="G22" t="s">
        <v>55</v>
      </c>
      <c r="H22">
        <v>-3.6365000000000001E-2</v>
      </c>
      <c r="I22">
        <v>8.2550000000000002E-3</v>
      </c>
    </row>
    <row r="23" spans="1:9">
      <c r="A23" t="s">
        <v>22</v>
      </c>
      <c r="B23">
        <v>-5.8840000000000003</v>
      </c>
      <c r="C23">
        <v>-6.0510000000000002</v>
      </c>
      <c r="D23">
        <v>-1.7940999999999999E-2</v>
      </c>
      <c r="E23" t="s">
        <v>55</v>
      </c>
      <c r="F23">
        <v>-7.7520000000000002E-3</v>
      </c>
      <c r="G23" t="s">
        <v>55</v>
      </c>
      <c r="H23">
        <v>-2.027E-2</v>
      </c>
      <c r="I23">
        <v>-9.8569999999999994E-3</v>
      </c>
    </row>
    <row r="24" spans="1:9">
      <c r="A24" t="s">
        <v>23</v>
      </c>
      <c r="B24">
        <v>7.6630000000000003</v>
      </c>
      <c r="C24">
        <v>-8.2799999999999994</v>
      </c>
      <c r="D24">
        <v>5.1269999999999996E-3</v>
      </c>
      <c r="E24" t="s">
        <v>55</v>
      </c>
      <c r="F24">
        <v>2.594E-3</v>
      </c>
      <c r="G24" t="s">
        <v>55</v>
      </c>
      <c r="H24">
        <v>3.408E-3</v>
      </c>
      <c r="I24">
        <v>4.5430000000000002E-3</v>
      </c>
    </row>
    <row r="25" spans="1:9">
      <c r="A25" t="s">
        <v>24</v>
      </c>
      <c r="B25">
        <v>-0.29599999999999999</v>
      </c>
      <c r="C25">
        <v>-8.2710000000000008</v>
      </c>
      <c r="D25">
        <v>-3.4425999999999998E-2</v>
      </c>
      <c r="E25" t="s">
        <v>55</v>
      </c>
      <c r="F25">
        <v>6.3039999999999997E-3</v>
      </c>
      <c r="G25" t="s">
        <v>55</v>
      </c>
      <c r="H25">
        <v>-3.6365000000000001E-2</v>
      </c>
      <c r="I25">
        <v>8.2550000000000002E-3</v>
      </c>
    </row>
    <row r="26" spans="1:9">
      <c r="A26" t="s">
        <v>25</v>
      </c>
      <c r="B26">
        <v>-8.327</v>
      </c>
      <c r="C26">
        <v>-8.2409999999999997</v>
      </c>
      <c r="D26">
        <v>-1.8109E-2</v>
      </c>
      <c r="E26" t="s">
        <v>55</v>
      </c>
      <c r="F26">
        <v>-1.1809999999999999E-2</v>
      </c>
      <c r="G26" t="s">
        <v>55</v>
      </c>
      <c r="H26">
        <v>-2.027E-2</v>
      </c>
      <c r="I26">
        <v>-9.8569999999999994E-3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0315-A700-4B42-9014-51E4CC8B74E6}">
  <dimension ref="A1:D25"/>
  <sheetViews>
    <sheetView workbookViewId="0">
      <selection activeCell="D1" sqref="D1"/>
    </sheetView>
  </sheetViews>
  <sheetFormatPr defaultRowHeight="16.2"/>
  <sheetData>
    <row r="1" spans="1:4">
      <c r="B1" t="s">
        <v>56</v>
      </c>
      <c r="C1" t="s">
        <v>59</v>
      </c>
      <c r="D1" s="1" t="s">
        <v>58</v>
      </c>
    </row>
    <row r="2" spans="1:4">
      <c r="A2" t="s">
        <v>2</v>
      </c>
      <c r="B2">
        <v>1.0047E-2</v>
      </c>
      <c r="C2" t="e">
        <f>B2*(2500000000^(0.5))/F7</f>
        <v>#DIV/0!</v>
      </c>
      <c r="D2">
        <v>3.408E-3</v>
      </c>
    </row>
    <row r="3" spans="1:4">
      <c r="A3" t="s">
        <v>3</v>
      </c>
      <c r="B3">
        <v>-2.5623E-2</v>
      </c>
      <c r="D3">
        <v>-3.6365000000000001E-2</v>
      </c>
    </row>
    <row r="4" spans="1:4">
      <c r="A4" t="s">
        <v>4</v>
      </c>
      <c r="B4">
        <v>-5.4320000000000002E-3</v>
      </c>
      <c r="D4">
        <v>-2.027E-2</v>
      </c>
    </row>
    <row r="5" spans="1:4">
      <c r="A5" t="s">
        <v>5</v>
      </c>
      <c r="B5">
        <v>7.646E-3</v>
      </c>
      <c r="D5">
        <v>3.408E-3</v>
      </c>
    </row>
    <row r="6" spans="1:4">
      <c r="A6" t="s">
        <v>6</v>
      </c>
      <c r="B6">
        <v>-2.6693000000000001E-2</v>
      </c>
      <c r="D6">
        <v>-3.6365000000000001E-2</v>
      </c>
    </row>
    <row r="7" spans="1:4">
      <c r="A7" t="s">
        <v>7</v>
      </c>
      <c r="B7">
        <v>-5.1019999999999998E-3</v>
      </c>
      <c r="D7">
        <v>-2.027E-2</v>
      </c>
    </row>
    <row r="8" spans="1:4">
      <c r="A8" t="s">
        <v>8</v>
      </c>
      <c r="B8">
        <v>5.4130000000000003E-3</v>
      </c>
      <c r="D8">
        <v>3.408E-3</v>
      </c>
    </row>
    <row r="9" spans="1:4">
      <c r="A9" t="s">
        <v>9</v>
      </c>
      <c r="B9">
        <v>-3.4199E-2</v>
      </c>
      <c r="D9">
        <v>-3.6365000000000001E-2</v>
      </c>
    </row>
    <row r="10" spans="1:4">
      <c r="A10" t="s">
        <v>10</v>
      </c>
      <c r="B10">
        <v>-1.7943000000000001E-2</v>
      </c>
      <c r="D10">
        <v>-2.027E-2</v>
      </c>
    </row>
    <row r="11" spans="1:4">
      <c r="A11" t="s">
        <v>11</v>
      </c>
      <c r="B11">
        <v>5.1229999999999999E-3</v>
      </c>
      <c r="D11">
        <v>3.408E-3</v>
      </c>
    </row>
    <row r="12" spans="1:4">
      <c r="A12" t="s">
        <v>12</v>
      </c>
      <c r="B12">
        <v>-3.4433999999999999E-2</v>
      </c>
      <c r="D12">
        <v>-3.6365000000000001E-2</v>
      </c>
    </row>
    <row r="13" spans="1:4">
      <c r="A13" t="s">
        <v>13</v>
      </c>
      <c r="B13">
        <v>-1.8121000000000002E-2</v>
      </c>
      <c r="D13">
        <v>-2.027E-2</v>
      </c>
    </row>
    <row r="14" spans="1:4">
      <c r="A14" t="s">
        <v>14</v>
      </c>
      <c r="B14">
        <v>1.0163E-2</v>
      </c>
      <c r="D14">
        <v>3.408E-3</v>
      </c>
    </row>
    <row r="15" spans="1:4">
      <c r="A15" t="s">
        <v>15</v>
      </c>
      <c r="B15">
        <v>-2.5482999999999999E-2</v>
      </c>
      <c r="D15">
        <v>-3.6365000000000001E-2</v>
      </c>
    </row>
    <row r="16" spans="1:4">
      <c r="A16" t="s">
        <v>16</v>
      </c>
      <c r="B16">
        <v>-5.2709999999999996E-3</v>
      </c>
      <c r="D16">
        <v>-2.027E-2</v>
      </c>
    </row>
    <row r="17" spans="1:4">
      <c r="A17" t="s">
        <v>17</v>
      </c>
      <c r="B17">
        <v>7.6290000000000004E-3</v>
      </c>
      <c r="D17">
        <v>3.408E-3</v>
      </c>
    </row>
    <row r="18" spans="1:4">
      <c r="A18" t="s">
        <v>18</v>
      </c>
      <c r="B18">
        <v>-2.6634000000000001E-2</v>
      </c>
      <c r="D18">
        <v>-3.6365000000000001E-2</v>
      </c>
    </row>
    <row r="19" spans="1:4">
      <c r="A19" t="s">
        <v>19</v>
      </c>
      <c r="B19">
        <v>-4.908E-3</v>
      </c>
      <c r="D19">
        <v>-2.027E-2</v>
      </c>
    </row>
    <row r="20" spans="1:4">
      <c r="A20" t="s">
        <v>20</v>
      </c>
      <c r="B20">
        <v>5.4099999999999999E-3</v>
      </c>
      <c r="D20">
        <v>3.408E-3</v>
      </c>
    </row>
    <row r="21" spans="1:4">
      <c r="A21" t="s">
        <v>21</v>
      </c>
      <c r="B21">
        <v>-3.4200000000000001E-2</v>
      </c>
      <c r="D21">
        <v>-3.6365000000000001E-2</v>
      </c>
    </row>
    <row r="22" spans="1:4">
      <c r="A22" t="s">
        <v>22</v>
      </c>
      <c r="B22">
        <v>-1.7940999999999999E-2</v>
      </c>
      <c r="D22">
        <v>-2.027E-2</v>
      </c>
    </row>
    <row r="23" spans="1:4">
      <c r="A23" t="s">
        <v>23</v>
      </c>
      <c r="B23">
        <v>5.1269999999999996E-3</v>
      </c>
      <c r="D23">
        <v>3.408E-3</v>
      </c>
    </row>
    <row r="24" spans="1:4">
      <c r="A24" t="s">
        <v>24</v>
      </c>
      <c r="B24">
        <v>-3.4425999999999998E-2</v>
      </c>
      <c r="D24">
        <v>-3.6365000000000001E-2</v>
      </c>
    </row>
    <row r="25" spans="1:4">
      <c r="A25" t="s">
        <v>25</v>
      </c>
      <c r="B25">
        <v>-1.8109E-2</v>
      </c>
      <c r="D25">
        <v>-2.027E-2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5F9E-E198-4A40-8176-22DB22090A57}">
  <dimension ref="A2:D11"/>
  <sheetViews>
    <sheetView tabSelected="1" workbookViewId="0">
      <selection activeCell="A8" sqref="A8:D11"/>
    </sheetView>
  </sheetViews>
  <sheetFormatPr defaultRowHeight="16.2"/>
  <cols>
    <col min="2" max="2" width="9.88671875" bestFit="1" customWidth="1"/>
    <col min="3" max="3" width="9.77734375" bestFit="1" customWidth="1"/>
    <col min="4" max="4" width="9.88671875" bestFit="1" customWidth="1"/>
  </cols>
  <sheetData>
    <row r="2" spans="1:4">
      <c r="B2" t="s">
        <v>56</v>
      </c>
      <c r="C2" t="s">
        <v>63</v>
      </c>
      <c r="D2" t="s">
        <v>64</v>
      </c>
    </row>
    <row r="3" spans="1:4">
      <c r="A3" t="s">
        <v>60</v>
      </c>
      <c r="B3" s="7">
        <v>2.5309999999999998E-3</v>
      </c>
      <c r="C3" s="7">
        <f>0.416886899553046*0.001</f>
        <v>4.1688689955304598E-4</v>
      </c>
      <c r="D3" s="7">
        <v>1.9798E-2</v>
      </c>
    </row>
    <row r="4" spans="1:4">
      <c r="A4" t="s">
        <v>61</v>
      </c>
      <c r="B4" s="7">
        <v>-5.097E-3</v>
      </c>
      <c r="C4" s="7">
        <f>-0.419103472516586*0.001</f>
        <v>-4.1910347251658596E-4</v>
      </c>
      <c r="D4" s="7">
        <v>-9.2900000000000003E-4</v>
      </c>
    </row>
    <row r="5" spans="1:4">
      <c r="A5" t="s">
        <v>62</v>
      </c>
      <c r="B5" s="7">
        <v>2.5660000000000001E-3</v>
      </c>
      <c r="C5" s="7">
        <f>0.421313992356275*0.001</f>
        <v>4.2131399235627499E-4</v>
      </c>
      <c r="D5" s="7">
        <v>-6.3200000000000001E-3</v>
      </c>
    </row>
    <row r="8" spans="1:4">
      <c r="B8" t="s">
        <v>67</v>
      </c>
      <c r="C8" t="s">
        <v>65</v>
      </c>
      <c r="D8" s="1" t="s">
        <v>66</v>
      </c>
    </row>
    <row r="9" spans="1:4">
      <c r="A9" t="s">
        <v>60</v>
      </c>
      <c r="B9" s="7">
        <v>-1.84E-2</v>
      </c>
      <c r="C9" s="7">
        <f>-1.51357949403428*0.001</f>
        <v>-1.51357949403428E-3</v>
      </c>
      <c r="D9" s="7">
        <v>-9.9340000000000001E-3</v>
      </c>
    </row>
    <row r="10" spans="1:4">
      <c r="A10" t="s">
        <v>61</v>
      </c>
      <c r="B10" s="7">
        <v>1.6905E-2</v>
      </c>
      <c r="C10" s="7">
        <f>1.38999712270521*0.001</f>
        <v>1.3899971227052099E-3</v>
      </c>
      <c r="D10" s="7">
        <v>2.5381999999999998E-2</v>
      </c>
    </row>
    <row r="11" spans="1:4">
      <c r="A11" t="s">
        <v>62</v>
      </c>
      <c r="B11" s="7">
        <v>1.5120000000000001E-3</v>
      </c>
      <c r="C11" s="7">
        <f>0.124276872235625*0.001</f>
        <v>1.24276872235625E-4</v>
      </c>
      <c r="D11" s="7">
        <v>9.9989999999999992E-3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工作表1</vt:lpstr>
      <vt:lpstr>工作表2</vt:lpstr>
      <vt:lpstr>工作表3</vt:lpstr>
      <vt:lpstr>工作表4</vt:lpstr>
      <vt:lpstr>工作表5</vt:lpstr>
      <vt:lpstr>工作表6</vt:lpstr>
      <vt:lpstr>工作表7</vt:lpstr>
      <vt:lpstr>工作表8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蔡意嫺 TSAI YI- HSIEN</dc:creator>
  <cp:lastModifiedBy>蔡意嫺 TSAI YI- HSIEN</cp:lastModifiedBy>
  <dcterms:created xsi:type="dcterms:W3CDTF">2024-12-12T02:06:40Z</dcterms:created>
  <dcterms:modified xsi:type="dcterms:W3CDTF">2024-12-13T16:50:12Z</dcterms:modified>
</cp:coreProperties>
</file>